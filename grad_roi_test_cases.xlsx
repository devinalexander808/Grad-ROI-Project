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Case1_CheapBigJump" sheetId="3" state="visible" r:id="rId5"/>
    <sheet name="Case2_ExpensiveSmallJump" sheetId="4" state="visible" r:id="rId6"/>
    <sheet name="Case3_MSBA_Fractional" sheetId="5" state="visible" r:id="rId7"/>
    <sheet name="Case4_NoLoans" sheetId="6" state="visible" r:id="rId8"/>
    <sheet name="Case5_NeverPaysOff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6" authorId="0">
      <text>
        <r>
          <rPr>
            <sz val="10"/>
            <rFont val="Arial"/>
            <family val="2"/>
          </rPr>
          <t xml:space="preserve">Cash paid out of pocket per year of school. Borrowed money (B) is excluded here because it is repaid through P later.</t>
        </r>
      </text>
    </comment>
    <comment ref="A54" authorId="0">
      <text>
        <r>
          <rPr>
            <sz val="10"/>
            <rFont val="Arial"/>
            <family val="2"/>
          </rPr>
          <t xml:space="preserve">NPV is linear in S1, so the breakeven salary has a closed form: S1* = (S1·Σm − NPV)/Σm, where m(k) is the discounted after-tax salary weight in each post-program year. No bisection needed.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6" authorId="0">
      <text>
        <r>
          <rPr>
            <sz val="10"/>
            <rFont val="Arial"/>
            <family val="2"/>
          </rPr>
          <t xml:space="preserve">Cash paid out of pocket per year of school. Borrowed money (B) is excluded here because it is repaid through P later.</t>
        </r>
      </text>
    </comment>
    <comment ref="A54" authorId="0">
      <text>
        <r>
          <rPr>
            <sz val="10"/>
            <rFont val="Arial"/>
            <family val="2"/>
          </rPr>
          <t xml:space="preserve">NPV is linear in S1, so the breakeven salary has a closed form: S1* = (S1·Σm − NPV)/Σm, where m(k) is the discounted after-tax salary weight in each post-program year. No bisection needed.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6" authorId="0">
      <text>
        <r>
          <rPr>
            <sz val="10"/>
            <rFont val="Arial"/>
            <family val="2"/>
          </rPr>
          <t xml:space="preserve">Cash paid out of pocket per year of school. Borrowed money (B) is excluded here because it is repaid through P later.</t>
        </r>
      </text>
    </comment>
    <comment ref="A54" authorId="0">
      <text>
        <r>
          <rPr>
            <sz val="10"/>
            <rFont val="Arial"/>
            <family val="2"/>
          </rPr>
          <t xml:space="preserve">NPV is linear in S1, so the breakeven salary has a closed form: S1* = (S1·Σm − NPV)/Σm, where m(k) is the discounted after-tax salary weight in each post-program year. No bisection needed.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6" authorId="0">
      <text>
        <r>
          <rPr>
            <sz val="10"/>
            <rFont val="Arial"/>
            <family val="2"/>
          </rPr>
          <t xml:space="preserve">Cash paid out of pocket per year of school. Borrowed money (B) is excluded here because it is repaid through P later.</t>
        </r>
      </text>
    </comment>
    <comment ref="A54" authorId="0">
      <text>
        <r>
          <rPr>
            <sz val="10"/>
            <rFont val="Arial"/>
            <family val="2"/>
          </rPr>
          <t xml:space="preserve">NPV is linear in S1, so the breakeven salary has a closed form: S1* = (S1·Σm − NPV)/Σm, where m(k) is the discounted after-tax salary weight in each post-program year. No bisection needed.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6" authorId="0">
      <text>
        <r>
          <rPr>
            <sz val="10"/>
            <rFont val="Arial"/>
            <family val="2"/>
          </rPr>
          <t xml:space="preserve">Cash paid out of pocket per year of school. Borrowed money (B) is excluded here because it is repaid through P later.</t>
        </r>
      </text>
    </comment>
    <comment ref="A54" authorId="0">
      <text>
        <r>
          <rPr>
            <sz val="10"/>
            <rFont val="Arial"/>
            <family val="2"/>
          </rPr>
          <t xml:space="preserve">NPV is linear in S1, so the breakeven salary has a closed form: S1* = (S1·Σm − NPV)/Σm, where m(k) is the discounted after-tax salary weight in each post-program year. No bisection needed.</t>
        </r>
      </text>
    </comment>
  </commentList>
</comments>
</file>

<file path=xl/sharedStrings.xml><?xml version="1.0" encoding="utf-8"?>
<sst xmlns="http://schemas.openxmlformats.org/spreadsheetml/2006/main" count="364" uniqueCount="103">
  <si>
    <t xml:space="preserve">Grad Program ROI — hand-check test cases (spec v0.2, §5 model)</t>
  </si>
  <si>
    <t xml:space="preserve">Purpose: five worked cases whose outputs become the unit tests for the app's model module.</t>
  </si>
  <si>
    <t xml:space="preserve">Each case sheet has: INPUTS (yellow cells, blue text — the only cells to edit), DERIVED values, a 20-row annual table, and OUTPUTS.</t>
  </si>
  <si>
    <t xml:space="preserve">All inputs are hypothetical except Case 3's S1 = 73,268, which is the College Scorecard 1-year median for Cal Poly CIP 5213 master's (API, Sept 9, 2026).</t>
  </si>
  <si>
    <t xml:space="preserve">Model, per year k (after-tax cash):</t>
  </si>
  <si>
    <t xml:space="preserve">  CF_A(k) = S0·(1+g_work)^(k−1)·(1−t)</t>
  </si>
  <si>
    <t xml:space="preserve">  CF_B(k) = −C_sch·sf(k) + S1·(1+g_grad)^exp(k)·(1−t)·wf(k) − P·lf(k)</t>
  </si>
  <si>
    <t xml:space="preserve">    C_sch = (T−Sch−B)/L + Living − PT·(1−t)      cash cost per school-year (borrowed money excluded; it returns as P)</t>
  </si>
  <si>
    <t xml:space="preserve">    sf(k) = fraction of year k spent in school = clamp(L−(k−1), 0, 1)</t>
  </si>
  <si>
    <t xml:space="preserve">    ts = L + gap/12 = when the new salary starts;  wf(k) = fraction of year k after ts = clamp(k−ts, 0, 1)</t>
  </si>
  <si>
    <t xml:space="preserve">    exp(k) = k − kf where kf = FLOOR(ts)+1 is the first working year (so the first working year gets exponent 0)</t>
  </si>
  <si>
    <t xml:space="preserve">    lf(k) = fraction of year k inside the loan term [L, L+N];  P = B·r/(1−(1+r)^−N)</t>
  </si>
  <si>
    <t xml:space="preserve">  Diff(k) = CF_B − CF_A;  NPV = Σ Diff(k)/(1+d)^k for k ≤ H;  payback = first k with cumulative Diff ≥ 0</t>
  </si>
  <si>
    <t xml:space="preserve">  Breakeven S1* = (S1·Σm − NPV)/Σm, with m(k) = (1+g_grad)^exp·(1−t)·wf(k)/(1+d)^k for k ≤ H  (NPV is linear in S1)</t>
  </si>
  <si>
    <t xml:space="preserve">Simplifications (documented in spec §10): one flat tax rate; loan payments start the moment the program ends (no grace period);</t>
  </si>
  <si>
    <t xml:space="preserve">raises compound once per year; no inflation adjustment beyond the discount rate.</t>
  </si>
  <si>
    <t xml:space="preserve">How to use: change a yellow cell and everything recomputes. Copy the OUTPUTS block of each case into the model's test file.</t>
  </si>
  <si>
    <t xml:space="preserve">Case</t>
  </si>
  <si>
    <t xml:space="preserve">Payback year</t>
  </si>
  <si>
    <t xml:space="preserve">NPV ($)</t>
  </si>
  <si>
    <t xml:space="preserve">Breakeven S1* ($)</t>
  </si>
  <si>
    <t xml:space="preserve">Scorecard/entered S1 ($)</t>
  </si>
  <si>
    <t xml:space="preserve">Expected behaviour</t>
  </si>
  <si>
    <t xml:space="preserve">1. Cheap program, big salary jump</t>
  </si>
  <si>
    <t xml:space="preserve">Pays back in year 4; large positive NPV; breakeven S1 well below 95k</t>
  </si>
  <si>
    <t xml:space="preserve">2. Expensive program, small salary jump</t>
  </si>
  <si>
    <t xml:space="preserve">Does not pay back within 10 years; NPV negative; breakeven S1 well above 80k</t>
  </si>
  <si>
    <t xml:space="preserve">3. Ten-month program (MSBA-like), Scorecard salary</t>
  </si>
  <si>
    <t xml:space="preserve">Fractional year and mid-year salary start prorate correctly. With S0 = 65k, the Scorecard 1-yr median (73k) is not enough: no payback in 10 yrs, breakeven S1 ≈ 79k</t>
  </si>
  <si>
    <t xml:space="preserve">4. No borrowing (paid from savings)</t>
  </si>
  <si>
    <t xml:space="preserve">Loan payment P = 0; full net tuition (20k) hits year 1; pays back around year 6</t>
  </si>
  <si>
    <t xml:space="preserve">5. High salary already, program never pays off</t>
  </si>
  <si>
    <t xml:space="preserve">Never pays back; NPV strongly negative; breakeven S1 far above 92k</t>
  </si>
  <si>
    <t xml:space="preserve">Green = linked from the case sheets. Change inputs on a case sheet, not here.</t>
  </si>
  <si>
    <t xml:space="preserve">Expected behaviour: Pays back in year 4; large positive NPV; breakeven S1 well below 95k</t>
  </si>
  <si>
    <t xml:space="preserve">INPUTS (blue = hardcoded; edit these)</t>
  </si>
  <si>
    <t xml:space="preserve">Symbol</t>
  </si>
  <si>
    <t xml:space="preserve">Current salary (pre-tax, $/yr)</t>
  </si>
  <si>
    <t xml:space="preserve">S0</t>
  </si>
  <si>
    <t xml:space="preserve">Raise rate if you keep working</t>
  </si>
  <si>
    <t xml:space="preserve">g_work</t>
  </si>
  <si>
    <t xml:space="preserve">Effective tax rate (flat)</t>
  </si>
  <si>
    <t xml:space="preserve">t</t>
  </si>
  <si>
    <t xml:space="preserve">Discount rate</t>
  </si>
  <si>
    <t xml:space="preserve">d</t>
  </si>
  <si>
    <t xml:space="preserve">Horizon (years, max 20)</t>
  </si>
  <si>
    <t xml:space="preserve">H</t>
  </si>
  <si>
    <t xml:space="preserve">Program length (years, fractional ok)</t>
  </si>
  <si>
    <t xml:space="preserve">L</t>
  </si>
  <si>
    <t xml:space="preserve">Tuition and fees, whole program ($)</t>
  </si>
  <si>
    <t xml:space="preserve">T</t>
  </si>
  <si>
    <t xml:space="preserve">Scholarships and grants ($)</t>
  </si>
  <si>
    <t xml:space="preserve">Sch</t>
  </si>
  <si>
    <t xml:space="preserve">Part-time earnings while enrolled (pre-tax, $/yr)</t>
  </si>
  <si>
    <t xml:space="preserve">PT</t>
  </si>
  <si>
    <t xml:space="preserve">Extra living cost while enrolled ($/yr)</t>
  </si>
  <si>
    <t xml:space="preserve">Living</t>
  </si>
  <si>
    <t xml:space="preserve">Job search after program (months)</t>
  </si>
  <si>
    <t xml:space="preserve">gap</t>
  </si>
  <si>
    <t xml:space="preserve">Starting salary after program (pre-tax, $/yr)</t>
  </si>
  <si>
    <t xml:space="preserve">S1</t>
  </si>
  <si>
    <t xml:space="preserve">Raise rate after program</t>
  </si>
  <si>
    <t xml:space="preserve">g_grad</t>
  </si>
  <si>
    <t xml:space="preserve">Amount borrowed ($)</t>
  </si>
  <si>
    <t xml:space="preserve">B</t>
  </si>
  <si>
    <t xml:space="preserve">Loan interest rate</t>
  </si>
  <si>
    <t xml:space="preserve">r</t>
  </si>
  <si>
    <t xml:space="preserve">Loan term (years)</t>
  </si>
  <si>
    <t xml:space="preserve">N</t>
  </si>
  <si>
    <t xml:space="preserve">DERIVED</t>
  </si>
  <si>
    <t xml:space="preserve">Annual loan payment P = B·r/(1−(1+r)^−N)</t>
  </si>
  <si>
    <t xml:space="preserve">P</t>
  </si>
  <si>
    <t xml:space="preserve">Salary start time ts = L + gap/12 (years from today)</t>
  </si>
  <si>
    <t xml:space="preserve">ts</t>
  </si>
  <si>
    <t xml:space="preserve">First working year kf = FLOOR(ts)+1</t>
  </si>
  <si>
    <t xml:space="preserve">kf</t>
  </si>
  <si>
    <t xml:space="preserve">Net school cost per school-year = (T−Sch−B)/L + Living − PT·(1−t)</t>
  </si>
  <si>
    <t xml:space="preserve">C_sch</t>
  </si>
  <si>
    <t xml:space="preserve">Year k</t>
  </si>
  <si>
    <t xml:space="preserve">In horizon (k&lt;=H)</t>
  </si>
  <si>
    <t xml:space="preserve">School fraction sf</t>
  </si>
  <si>
    <t xml:space="preserve">Working fraction wf</t>
  </si>
  <si>
    <t xml:space="preserve">Raise exponent</t>
  </si>
  <si>
    <t xml:space="preserve">Loan fraction lf</t>
  </si>
  <si>
    <t xml:space="preserve">CF_A keep working</t>
  </si>
  <si>
    <t xml:space="preserve">CF_B program</t>
  </si>
  <si>
    <t xml:space="preserve">Diff = CF_B − CF_A</t>
  </si>
  <si>
    <t xml:space="preserve">Cumulative diff</t>
  </si>
  <si>
    <t xml:space="preserve">Discount factor</t>
  </si>
  <si>
    <t xml:space="preserve">PV of diff</t>
  </si>
  <si>
    <t xml:space="preserve">S1 multiplier m(k)</t>
  </si>
  <si>
    <t xml:space="preserve">Payback helper</t>
  </si>
  <si>
    <t xml:space="preserve">OUTPUTS (check these by hand)</t>
  </si>
  <si>
    <t xml:space="preserve">Payback year (first k with cumulative diff ≥ 0)</t>
  </si>
  <si>
    <t xml:space="preserve">NPV of (program − keep working), years 1..H ($)</t>
  </si>
  <si>
    <t xml:space="preserve">Σ S1 multiplier (NPV sensitivity to S1)</t>
  </si>
  <si>
    <t xml:space="preserve">Breakeven starting salary S1* = (S1·Σm − NPV)/Σm ($)</t>
  </si>
  <si>
    <t xml:space="preserve">Check: NPV recomputed at S1* should be 0</t>
  </si>
  <si>
    <t xml:space="preserve">Cumulative diff at year H ($, undiscounted)</t>
  </si>
  <si>
    <t xml:space="preserve">Expected behaviour: Does not pay back within 10 years; NPV negative; breakeven S1 well above 80k</t>
  </si>
  <si>
    <t xml:space="preserve">Expected behaviour: Fractional year and mid-year salary start prorate correctly. With S0 = 65k, the Scorecard 1-yr median (73k) is not enough: no payback in 10 yrs, breakeven S1 ≈ 79k</t>
  </si>
  <si>
    <t xml:space="preserve">Expected behaviour: Loan payment P = 0; full net tuition (20k) hits year 1; pays back around year 6</t>
  </si>
  <si>
    <t xml:space="preserve">Expected behaviour: Never pays back; NPV strongly negative; breakeven S1 far above 92k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</si>
</sst>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\$#,##0;&quot;($&quot;#,##0\);\-"/>
    <numFmt numFmtId="167" formatCode="0.0%"/>
    <numFmt numFmtId="168" formatCode="0"/>
    <numFmt numFmtId="169" formatCode="0.00"/>
    <numFmt numFmtId="170" formatCode="0.00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</row>
    <row r="2" customFormat="false" ht="15" hidden="false" customHeight="false" outlineLevel="0" collapsed="false">
      <c r="A2" s="5" t="s">
        <v>23</v>
      </c>
      <c r="B2" s="6" t="n">
        <f aca="false">Case1_CheapBigJump!C51</f>
        <v>4</v>
      </c>
      <c r="C2" s="7" t="n">
        <f aca="false">Case1_CheapBigJump!C52</f>
        <v>129985.681819488</v>
      </c>
      <c r="D2" s="7" t="n">
        <f aca="false">Case1_CheapBigJump!C54</f>
        <v>72292.1203650216</v>
      </c>
      <c r="E2" s="7" t="n">
        <f aca="false">Case1_CheapBigJump!$C$16</f>
        <v>95000</v>
      </c>
      <c r="F2" s="5" t="s">
        <v>24</v>
      </c>
    </row>
    <row r="3" customFormat="false" ht="15" hidden="false" customHeight="false" outlineLevel="0" collapsed="false">
      <c r="A3" s="5" t="s">
        <v>25</v>
      </c>
      <c r="B3" s="6" t="str">
        <f aca="false">Case2_ExpensiveSmallJump!C51</f>
        <v>Not within horizon</v>
      </c>
      <c r="C3" s="7" t="n">
        <f aca="false">Case2_ExpensiveSmallJump!C52</f>
        <v>-177085.588430577</v>
      </c>
      <c r="D3" s="7" t="n">
        <f aca="false">Case2_ExpensiveSmallJump!C54</f>
        <v>116500.899078836</v>
      </c>
      <c r="E3" s="7" t="n">
        <f aca="false">Case2_ExpensiveSmallJump!$C$16</f>
        <v>80000</v>
      </c>
      <c r="F3" s="5" t="s">
        <v>26</v>
      </c>
    </row>
    <row r="4" customFormat="false" ht="15" hidden="false" customHeight="false" outlineLevel="0" collapsed="false">
      <c r="A4" s="5" t="s">
        <v>27</v>
      </c>
      <c r="B4" s="6" t="str">
        <f aca="false">Case3_MSBA_Fractional!C51</f>
        <v>Not within horizon</v>
      </c>
      <c r="C4" s="7" t="n">
        <f aca="false">Case3_MSBA_Fractional!C52</f>
        <v>-34721.1329969283</v>
      </c>
      <c r="D4" s="7" t="n">
        <f aca="false">Case3_MSBA_Fractional!C54</f>
        <v>79213.5005365167</v>
      </c>
      <c r="E4" s="7" t="n">
        <f aca="false">Case3_MSBA_Fractional!$C$16</f>
        <v>73268</v>
      </c>
      <c r="F4" s="5" t="s">
        <v>28</v>
      </c>
    </row>
    <row r="5" customFormat="false" ht="15" hidden="false" customHeight="false" outlineLevel="0" collapsed="false">
      <c r="A5" s="5" t="s">
        <v>29</v>
      </c>
      <c r="B5" s="6" t="n">
        <f aca="false">Case4_NoLoans!C51</f>
        <v>6</v>
      </c>
      <c r="C5" s="7" t="n">
        <f aca="false">Case4_NoLoans!C52</f>
        <v>49433.1259097622</v>
      </c>
      <c r="D5" s="7" t="n">
        <f aca="false">Case4_NoLoans!C54</f>
        <v>66364.2682991926</v>
      </c>
      <c r="E5" s="7" t="n">
        <f aca="false">Case4_NoLoans!$C$16</f>
        <v>75000</v>
      </c>
      <c r="F5" s="5" t="s">
        <v>30</v>
      </c>
    </row>
    <row r="6" customFormat="false" ht="15" hidden="false" customHeight="false" outlineLevel="0" collapsed="false">
      <c r="A6" s="5" t="s">
        <v>31</v>
      </c>
      <c r="B6" s="6" t="str">
        <f aca="false">Case5_NeverPaysOff!C51</f>
        <v>Not within horizon</v>
      </c>
      <c r="C6" s="7" t="n">
        <f aca="false">Case5_NeverPaysOff!C52</f>
        <v>-222750.348770129</v>
      </c>
      <c r="D6" s="7" t="n">
        <f aca="false">Case5_NeverPaysOff!C54</f>
        <v>137913.324016321</v>
      </c>
      <c r="E6" s="7" t="n">
        <f aca="false">Case5_NeverPaysOff!$C$16</f>
        <v>92000</v>
      </c>
      <c r="F6" s="5" t="s">
        <v>32</v>
      </c>
    </row>
    <row r="8" customFormat="false" ht="15" hidden="false" customHeight="false" outlineLevel="0" collapsed="false">
      <c r="A8" s="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8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6.15" hidden="false" customHeight="false" outlineLevel="0" collapsed="false">
      <c r="A1" s="1" t="s">
        <v>23</v>
      </c>
    </row>
    <row r="2" customFormat="false" ht="15" hidden="false" customHeight="false" outlineLevel="0" collapsed="false">
      <c r="A2" s="8" t="s">
        <v>34</v>
      </c>
    </row>
    <row r="4" customFormat="false" ht="15" hidden="false" customHeight="false" outlineLevel="0" collapsed="false">
      <c r="A4" s="3" t="s">
        <v>35</v>
      </c>
      <c r="B4" s="3" t="s">
        <v>36</v>
      </c>
    </row>
    <row r="5" customFormat="false" ht="15" hidden="false" customHeight="false" outlineLevel="0" collapsed="false">
      <c r="A5" s="2" t="s">
        <v>37</v>
      </c>
      <c r="B5" s="2" t="s">
        <v>38</v>
      </c>
      <c r="C5" s="9" t="n">
        <v>60000</v>
      </c>
    </row>
    <row r="6" customFormat="false" ht="15" hidden="false" customHeight="false" outlineLevel="0" collapsed="false">
      <c r="A6" s="2" t="s">
        <v>39</v>
      </c>
      <c r="B6" s="2" t="s">
        <v>40</v>
      </c>
      <c r="C6" s="10" t="n">
        <v>0.03</v>
      </c>
    </row>
    <row r="7" customFormat="false" ht="15" hidden="false" customHeight="false" outlineLevel="0" collapsed="false">
      <c r="A7" s="2" t="s">
        <v>41</v>
      </c>
      <c r="B7" s="2" t="s">
        <v>42</v>
      </c>
      <c r="C7" s="10" t="n">
        <v>0.25</v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v>0.05</v>
      </c>
    </row>
    <row r="9" customFormat="false" ht="15" hidden="false" customHeight="false" outlineLevel="0" collapsed="false">
      <c r="A9" s="2" t="s">
        <v>45</v>
      </c>
      <c r="B9" s="2" t="s">
        <v>46</v>
      </c>
      <c r="C9" s="11" t="n">
        <v>10</v>
      </c>
    </row>
    <row r="10" customFormat="false" ht="15" hidden="false" customHeight="false" outlineLevel="0" collapsed="false">
      <c r="A10" s="2" t="s">
        <v>47</v>
      </c>
      <c r="B10" s="2" t="s">
        <v>48</v>
      </c>
      <c r="C10" s="12" t="n">
        <v>1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9" t="n">
        <v>20000</v>
      </c>
    </row>
    <row r="12" customFormat="false" ht="15" hidden="false" customHeight="false" outlineLevel="0" collapsed="false">
      <c r="A12" s="2" t="s">
        <v>51</v>
      </c>
      <c r="B12" s="2" t="s">
        <v>52</v>
      </c>
      <c r="C12" s="9" t="n">
        <v>0</v>
      </c>
    </row>
    <row r="13" customFormat="false" ht="15" hidden="false" customHeight="false" outlineLevel="0" collapsed="false">
      <c r="A13" s="2" t="s">
        <v>53</v>
      </c>
      <c r="B13" s="2" t="s">
        <v>54</v>
      </c>
      <c r="C13" s="9" t="n"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9" t="n">
        <v>0</v>
      </c>
    </row>
    <row r="15" customFormat="false" ht="15" hidden="false" customHeight="false" outlineLevel="0" collapsed="false">
      <c r="A15" s="2" t="s">
        <v>57</v>
      </c>
      <c r="B15" s="2" t="s">
        <v>58</v>
      </c>
      <c r="C15" s="11" t="n">
        <v>3</v>
      </c>
    </row>
    <row r="16" customFormat="false" ht="15" hidden="false" customHeight="false" outlineLevel="0" collapsed="false">
      <c r="A16" s="2" t="s">
        <v>59</v>
      </c>
      <c r="B16" s="2" t="s">
        <v>60</v>
      </c>
      <c r="C16" s="9" t="n">
        <v>95000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10" t="n">
        <v>0.04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9" t="n">
        <v>20000</v>
      </c>
    </row>
    <row r="19" customFormat="false" ht="15" hidden="false" customHeight="false" outlineLevel="0" collapsed="false">
      <c r="A19" s="2" t="s">
        <v>65</v>
      </c>
      <c r="B19" s="2" t="s">
        <v>66</v>
      </c>
      <c r="C19" s="10" t="n">
        <v>0.08</v>
      </c>
    </row>
    <row r="20" customFormat="false" ht="15" hidden="false" customHeight="false" outlineLevel="0" collapsed="false">
      <c r="A20" s="2" t="s">
        <v>67</v>
      </c>
      <c r="B20" s="2" t="s">
        <v>68</v>
      </c>
      <c r="C20" s="11" t="n">
        <v>10</v>
      </c>
    </row>
    <row r="22" customFormat="false" ht="15" hidden="false" customHeight="false" outlineLevel="0" collapsed="false">
      <c r="A22" s="3" t="s">
        <v>69</v>
      </c>
    </row>
    <row r="23" customFormat="false" ht="15" hidden="false" customHeight="false" outlineLevel="0" collapsed="false">
      <c r="A23" s="0" t="s">
        <v>70</v>
      </c>
      <c r="B23" s="0" t="s">
        <v>71</v>
      </c>
      <c r="C23" s="13" t="n">
        <f aca="false">IF($C$18=0,0,$C$18*$C$19/(1-(1+$C$19)^(-$C$20)))</f>
        <v>2980.58977394151</v>
      </c>
    </row>
    <row r="24" customFormat="false" ht="15" hidden="false" customHeight="false" outlineLevel="0" collapsed="false">
      <c r="A24" s="0" t="s">
        <v>72</v>
      </c>
      <c r="B24" s="0" t="s">
        <v>73</v>
      </c>
      <c r="C24" s="14" t="n">
        <f aca="false">$C$10+$C$15/12</f>
        <v>1.25</v>
      </c>
    </row>
    <row r="25" customFormat="false" ht="15" hidden="false" customHeight="false" outlineLevel="0" collapsed="false">
      <c r="A25" s="0" t="s">
        <v>74</v>
      </c>
      <c r="B25" s="0" t="s">
        <v>75</v>
      </c>
      <c r="C25" s="15" t="n">
        <f aca="false">INT($C$24)+1</f>
        <v>2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13" t="n">
        <f aca="false">($C$11-$C$12-$C$18)/$C$10+$C$14-$C$13*(1-$C$7)</f>
        <v>0</v>
      </c>
    </row>
    <row r="28" customFormat="false" ht="42" hidden="false" customHeight="true" outlineLevel="0" collapsed="false">
      <c r="A28" s="16" t="s">
        <v>78</v>
      </c>
      <c r="B28" s="16" t="s">
        <v>79</v>
      </c>
      <c r="C28" s="16" t="s">
        <v>80</v>
      </c>
      <c r="D28" s="16" t="s">
        <v>81</v>
      </c>
      <c r="E28" s="16" t="s">
        <v>82</v>
      </c>
      <c r="F28" s="16" t="s">
        <v>83</v>
      </c>
      <c r="G28" s="16" t="s">
        <v>84</v>
      </c>
      <c r="H28" s="16" t="s">
        <v>85</v>
      </c>
      <c r="I28" s="16" t="s">
        <v>86</v>
      </c>
      <c r="J28" s="16" t="s">
        <v>87</v>
      </c>
      <c r="K28" s="16" t="s">
        <v>88</v>
      </c>
      <c r="L28" s="16" t="s">
        <v>89</v>
      </c>
      <c r="M28" s="16" t="s">
        <v>90</v>
      </c>
      <c r="N28" s="16" t="s">
        <v>91</v>
      </c>
    </row>
    <row r="29" customFormat="false" ht="15" hidden="false" customHeight="false" outlineLevel="0" collapsed="false">
      <c r="A29" s="17" t="n">
        <v>1</v>
      </c>
      <c r="B29" s="5" t="n">
        <f aca="false">IF(A29&lt;=$C$9,1,0)</f>
        <v>1</v>
      </c>
      <c r="C29" s="18" t="n">
        <f aca="false">MAX(0,MIN(1,$C$10-(A29-1)))</f>
        <v>1</v>
      </c>
      <c r="D29" s="18" t="n">
        <f aca="false">MAX(0,MIN(1,A29-$C$24))</f>
        <v>0</v>
      </c>
      <c r="E29" s="18" t="n">
        <f aca="false">MAX(0,A29-$C$25)</f>
        <v>0</v>
      </c>
      <c r="F29" s="18" t="n">
        <f aca="false">MAX(0,MIN(A29,$C$10+$C$20)-MAX(A29-1,$C$10))</f>
        <v>0</v>
      </c>
      <c r="G29" s="19" t="n">
        <f aca="false">$C$5*(1+$C$6)^(A29-1)*(1-$C$7)</f>
        <v>45000</v>
      </c>
      <c r="H29" s="19" t="n">
        <f aca="false">-$C$26*C29+$C$16*(1+$C$17)^E29*(1-$C$7)*D29-$C$23*F29</f>
        <v>0</v>
      </c>
      <c r="I29" s="19" t="n">
        <f aca="false">H29-G29</f>
        <v>-45000</v>
      </c>
      <c r="J29" s="19" t="n">
        <f aca="false">I29</f>
        <v>-45000</v>
      </c>
      <c r="K29" s="18" t="n">
        <f aca="false">1/(1+$C$8)^A29</f>
        <v>0.952380952380952</v>
      </c>
      <c r="L29" s="19" t="n">
        <f aca="false">I29*K29*B29</f>
        <v>-42857.1428571429</v>
      </c>
      <c r="M29" s="20" t="n">
        <f aca="false">(1+$C$17)^E29*(1-$C$7)*D29*K29*B29</f>
        <v>0</v>
      </c>
      <c r="N29" s="17" t="n">
        <f aca="false">IF(AND(B29=1,J29&gt;=0),A29,999)</f>
        <v>999</v>
      </c>
    </row>
    <row r="30" customFormat="false" ht="15" hidden="false" customHeight="false" outlineLevel="0" collapsed="false">
      <c r="A30" s="17" t="n">
        <v>2</v>
      </c>
      <c r="B30" s="5" t="n">
        <f aca="false">IF(A30&lt;=$C$9,1,0)</f>
        <v>1</v>
      </c>
      <c r="C30" s="18" t="n">
        <f aca="false">MAX(0,MIN(1,$C$10-(A30-1)))</f>
        <v>0</v>
      </c>
      <c r="D30" s="18" t="n">
        <f aca="false">MAX(0,MIN(1,A30-$C$24))</f>
        <v>0.75</v>
      </c>
      <c r="E30" s="18" t="n">
        <f aca="false">MAX(0,A30-$C$25)</f>
        <v>0</v>
      </c>
      <c r="F30" s="18" t="n">
        <f aca="false">MAX(0,MIN(A30,$C$10+$C$20)-MAX(A30-1,$C$10))</f>
        <v>1</v>
      </c>
      <c r="G30" s="19" t="n">
        <f aca="false">$C$5*(1+$C$6)^(A30-1)*(1-$C$7)</f>
        <v>46350</v>
      </c>
      <c r="H30" s="19" t="n">
        <f aca="false">-$C$26*C30+$C$16*(1+$C$17)^E30*(1-$C$7)*D30-$C$23*F30</f>
        <v>50456.9102260585</v>
      </c>
      <c r="I30" s="19" t="n">
        <f aca="false">H30-G30</f>
        <v>4106.91022605849</v>
      </c>
      <c r="J30" s="19" t="n">
        <f aca="false">J29+I30</f>
        <v>-40893.0897739415</v>
      </c>
      <c r="K30" s="18" t="n">
        <f aca="false">1/(1+$C$8)^A30</f>
        <v>0.90702947845805</v>
      </c>
      <c r="L30" s="19" t="n">
        <f aca="false">I30*K30*B30</f>
        <v>3725.08864041587</v>
      </c>
      <c r="M30" s="20" t="n">
        <f aca="false">(1+$C$17)^E30*(1-$C$7)*D30*K30*B30</f>
        <v>0.510204081632653</v>
      </c>
      <c r="N30" s="17" t="n">
        <f aca="false">IF(AND(B30=1,J30&gt;=0),A30,999)</f>
        <v>999</v>
      </c>
    </row>
    <row r="31" customFormat="false" ht="15" hidden="false" customHeight="false" outlineLevel="0" collapsed="false">
      <c r="A31" s="17" t="n">
        <v>3</v>
      </c>
      <c r="B31" s="5" t="n">
        <f aca="false">IF(A31&lt;=$C$9,1,0)</f>
        <v>1</v>
      </c>
      <c r="C31" s="18" t="n">
        <f aca="false">MAX(0,MIN(1,$C$10-(A31-1)))</f>
        <v>0</v>
      </c>
      <c r="D31" s="18" t="n">
        <f aca="false">MAX(0,MIN(1,A31-$C$24))</f>
        <v>1</v>
      </c>
      <c r="E31" s="18" t="n">
        <f aca="false">MAX(0,A31-$C$25)</f>
        <v>1</v>
      </c>
      <c r="F31" s="18" t="n">
        <f aca="false">MAX(0,MIN(A31,$C$10+$C$20)-MAX(A31-1,$C$10))</f>
        <v>1</v>
      </c>
      <c r="G31" s="19" t="n">
        <f aca="false">$C$5*(1+$C$6)^(A31-1)*(1-$C$7)</f>
        <v>47740.5</v>
      </c>
      <c r="H31" s="19" t="n">
        <f aca="false">-$C$26*C31+$C$16*(1+$C$17)^E31*(1-$C$7)*D31-$C$23*F31</f>
        <v>71119.4102260585</v>
      </c>
      <c r="I31" s="19" t="n">
        <f aca="false">H31-G31</f>
        <v>23378.9102260585</v>
      </c>
      <c r="J31" s="19" t="n">
        <f aca="false">J30+I31</f>
        <v>-17514.179547883</v>
      </c>
      <c r="K31" s="18" t="n">
        <f aca="false">1/(1+$C$8)^A31</f>
        <v>0.863837598531476</v>
      </c>
      <c r="L31" s="19" t="n">
        <f aca="false">I31*K31*B31</f>
        <v>20195.5816659613</v>
      </c>
      <c r="M31" s="20" t="n">
        <f aca="false">(1+$C$17)^E31*(1-$C$7)*D31*K31*B31</f>
        <v>0.673793326854551</v>
      </c>
      <c r="N31" s="17" t="n">
        <f aca="false">IF(AND(B31=1,J31&gt;=0),A31,999)</f>
        <v>999</v>
      </c>
    </row>
    <row r="32" customFormat="false" ht="15" hidden="false" customHeight="false" outlineLevel="0" collapsed="false">
      <c r="A32" s="17" t="n">
        <v>4</v>
      </c>
      <c r="B32" s="5" t="n">
        <f aca="false">IF(A32&lt;=$C$9,1,0)</f>
        <v>1</v>
      </c>
      <c r="C32" s="18" t="n">
        <f aca="false">MAX(0,MIN(1,$C$10-(A32-1)))</f>
        <v>0</v>
      </c>
      <c r="D32" s="18" t="n">
        <f aca="false">MAX(0,MIN(1,A32-$C$24))</f>
        <v>1</v>
      </c>
      <c r="E32" s="18" t="n">
        <f aca="false">MAX(0,A32-$C$25)</f>
        <v>2</v>
      </c>
      <c r="F32" s="18" t="n">
        <f aca="false">MAX(0,MIN(A32,$C$10+$C$20)-MAX(A32-1,$C$10))</f>
        <v>1</v>
      </c>
      <c r="G32" s="19" t="n">
        <f aca="false">$C$5*(1+$C$6)^(A32-1)*(1-$C$7)</f>
        <v>49172.715</v>
      </c>
      <c r="H32" s="19" t="n">
        <f aca="false">-$C$26*C32+$C$16*(1+$C$17)^E32*(1-$C$7)*D32-$C$23*F32</f>
        <v>74083.4102260585</v>
      </c>
      <c r="I32" s="19" t="n">
        <f aca="false">H32-G32</f>
        <v>24910.6952260585</v>
      </c>
      <c r="J32" s="19" t="n">
        <f aca="false">J31+I32</f>
        <v>7396.51567817549</v>
      </c>
      <c r="K32" s="18" t="n">
        <f aca="false">1/(1+$C$8)^A32</f>
        <v>0.822702474791882</v>
      </c>
      <c r="L32" s="19" t="n">
        <f aca="false">I32*K32*B32</f>
        <v>20494.0906112647</v>
      </c>
      <c r="M32" s="20" t="n">
        <f aca="false">(1+$C$17)^E32*(1-$C$7)*D32*K32*B32</f>
        <v>0.667376247551175</v>
      </c>
      <c r="N32" s="17" t="n">
        <f aca="false">IF(AND(B32=1,J32&gt;=0),A32,999)</f>
        <v>4</v>
      </c>
    </row>
    <row r="33" customFormat="false" ht="15" hidden="false" customHeight="false" outlineLevel="0" collapsed="false">
      <c r="A33" s="17" t="n">
        <v>5</v>
      </c>
      <c r="B33" s="5" t="n">
        <f aca="false">IF(A33&lt;=$C$9,1,0)</f>
        <v>1</v>
      </c>
      <c r="C33" s="18" t="n">
        <f aca="false">MAX(0,MIN(1,$C$10-(A33-1)))</f>
        <v>0</v>
      </c>
      <c r="D33" s="18" t="n">
        <f aca="false">MAX(0,MIN(1,A33-$C$24))</f>
        <v>1</v>
      </c>
      <c r="E33" s="18" t="n">
        <f aca="false">MAX(0,A33-$C$25)</f>
        <v>3</v>
      </c>
      <c r="F33" s="18" t="n">
        <f aca="false">MAX(0,MIN(A33,$C$10+$C$20)-MAX(A33-1,$C$10))</f>
        <v>1</v>
      </c>
      <c r="G33" s="19" t="n">
        <f aca="false">$C$5*(1+$C$6)^(A33-1)*(1-$C$7)</f>
        <v>50647.89645</v>
      </c>
      <c r="H33" s="19" t="n">
        <f aca="false">-$C$26*C33+$C$16*(1+$C$17)^E33*(1-$C$7)*D33-$C$23*F33</f>
        <v>77165.9702260585</v>
      </c>
      <c r="I33" s="19" t="n">
        <f aca="false">H33-G33</f>
        <v>26518.0737760585</v>
      </c>
      <c r="J33" s="19" t="n">
        <f aca="false">J32+I33</f>
        <v>33914.589454234</v>
      </c>
      <c r="K33" s="18" t="n">
        <f aca="false">1/(1+$C$8)^A33</f>
        <v>0.783526166468459</v>
      </c>
      <c r="L33" s="19" t="n">
        <f aca="false">I33*K33*B33</f>
        <v>20777.6046878829</v>
      </c>
      <c r="M33" s="20" t="n">
        <f aca="false">(1+$C$17)^E33*(1-$C$7)*D33*K33*B33</f>
        <v>0.661020283288782</v>
      </c>
      <c r="N33" s="17" t="n">
        <f aca="false">IF(AND(B33=1,J33&gt;=0),A33,999)</f>
        <v>5</v>
      </c>
    </row>
    <row r="34" customFormat="false" ht="15" hidden="false" customHeight="false" outlineLevel="0" collapsed="false">
      <c r="A34" s="17" t="n">
        <v>6</v>
      </c>
      <c r="B34" s="5" t="n">
        <f aca="false">IF(A34&lt;=$C$9,1,0)</f>
        <v>1</v>
      </c>
      <c r="C34" s="18" t="n">
        <f aca="false">MAX(0,MIN(1,$C$10-(A34-1)))</f>
        <v>0</v>
      </c>
      <c r="D34" s="18" t="n">
        <f aca="false">MAX(0,MIN(1,A34-$C$24))</f>
        <v>1</v>
      </c>
      <c r="E34" s="18" t="n">
        <f aca="false">MAX(0,A34-$C$25)</f>
        <v>4</v>
      </c>
      <c r="F34" s="18" t="n">
        <f aca="false">MAX(0,MIN(A34,$C$10+$C$20)-MAX(A34-1,$C$10))</f>
        <v>1</v>
      </c>
      <c r="G34" s="19" t="n">
        <f aca="false">$C$5*(1+$C$6)^(A34-1)*(1-$C$7)</f>
        <v>52167.3333435</v>
      </c>
      <c r="H34" s="19" t="n">
        <f aca="false">-$C$26*C34+$C$16*(1+$C$17)^E34*(1-$C$7)*D34-$C$23*F34</f>
        <v>80371.8326260585</v>
      </c>
      <c r="I34" s="19" t="n">
        <f aca="false">H34-G34</f>
        <v>28204.4992825585</v>
      </c>
      <c r="J34" s="19" t="n">
        <f aca="false">J33+I34</f>
        <v>62119.0887367925</v>
      </c>
      <c r="K34" s="18" t="n">
        <f aca="false">1/(1+$C$8)^A34</f>
        <v>0.746215396636627</v>
      </c>
      <c r="L34" s="19" t="n">
        <f aca="false">I34*K34*B34</f>
        <v>21046.6316190719</v>
      </c>
      <c r="M34" s="20" t="n">
        <f aca="false">(1+$C$17)^E34*(1-$C$7)*D34*K34*B34</f>
        <v>0.654724852019366</v>
      </c>
      <c r="N34" s="17" t="n">
        <f aca="false">IF(AND(B34=1,J34&gt;=0),A34,999)</f>
        <v>6</v>
      </c>
    </row>
    <row r="35" customFormat="false" ht="15" hidden="false" customHeight="false" outlineLevel="0" collapsed="false">
      <c r="A35" s="17" t="n">
        <v>7</v>
      </c>
      <c r="B35" s="5" t="n">
        <f aca="false">IF(A35&lt;=$C$9,1,0)</f>
        <v>1</v>
      </c>
      <c r="C35" s="18" t="n">
        <f aca="false">MAX(0,MIN(1,$C$10-(A35-1)))</f>
        <v>0</v>
      </c>
      <c r="D35" s="18" t="n">
        <f aca="false">MAX(0,MIN(1,A35-$C$24))</f>
        <v>1</v>
      </c>
      <c r="E35" s="18" t="n">
        <f aca="false">MAX(0,A35-$C$25)</f>
        <v>5</v>
      </c>
      <c r="F35" s="18" t="n">
        <f aca="false">MAX(0,MIN(A35,$C$10+$C$20)-MAX(A35-1,$C$10))</f>
        <v>1</v>
      </c>
      <c r="G35" s="19" t="n">
        <f aca="false">$C$5*(1+$C$6)^(A35-1)*(1-$C$7)</f>
        <v>53732.353343805</v>
      </c>
      <c r="H35" s="19" t="n">
        <f aca="false">-$C$26*C35+$C$16*(1+$C$17)^E35*(1-$C$7)*D35-$C$23*F35</f>
        <v>83705.9295220585</v>
      </c>
      <c r="I35" s="19" t="n">
        <f aca="false">H35-G35</f>
        <v>29973.5761782535</v>
      </c>
      <c r="J35" s="19" t="n">
        <f aca="false">J34+I35</f>
        <v>92092.664915046</v>
      </c>
      <c r="K35" s="18" t="n">
        <f aca="false">1/(1+$C$8)^A35</f>
        <v>0.710681330130121</v>
      </c>
      <c r="L35" s="19" t="n">
        <f aca="false">I35*K35*B35</f>
        <v>21301.6609871177</v>
      </c>
      <c r="M35" s="20" t="n">
        <f aca="false">(1+$C$17)^E35*(1-$C$7)*D35*K35*B35</f>
        <v>0.648489377238229</v>
      </c>
      <c r="N35" s="17" t="n">
        <f aca="false">IF(AND(B35=1,J35&gt;=0),A35,999)</f>
        <v>7</v>
      </c>
    </row>
    <row r="36" customFormat="false" ht="15" hidden="false" customHeight="false" outlineLevel="0" collapsed="false">
      <c r="A36" s="17" t="n">
        <v>8</v>
      </c>
      <c r="B36" s="5" t="n">
        <f aca="false">IF(A36&lt;=$C$9,1,0)</f>
        <v>1</v>
      </c>
      <c r="C36" s="18" t="n">
        <f aca="false">MAX(0,MIN(1,$C$10-(A36-1)))</f>
        <v>0</v>
      </c>
      <c r="D36" s="18" t="n">
        <f aca="false">MAX(0,MIN(1,A36-$C$24))</f>
        <v>1</v>
      </c>
      <c r="E36" s="18" t="n">
        <f aca="false">MAX(0,A36-$C$25)</f>
        <v>6</v>
      </c>
      <c r="F36" s="18" t="n">
        <f aca="false">MAX(0,MIN(A36,$C$10+$C$20)-MAX(A36-1,$C$10))</f>
        <v>1</v>
      </c>
      <c r="G36" s="19" t="n">
        <f aca="false">$C$5*(1+$C$6)^(A36-1)*(1-$C$7)</f>
        <v>55344.3239441192</v>
      </c>
      <c r="H36" s="19" t="n">
        <f aca="false">-$C$26*C36+$C$16*(1+$C$17)^E36*(1-$C$7)*D36-$C$23*F36</f>
        <v>87173.3902938985</v>
      </c>
      <c r="I36" s="19" t="n">
        <f aca="false">H36-G36</f>
        <v>31829.0663497794</v>
      </c>
      <c r="J36" s="19" t="n">
        <f aca="false">J35+I36</f>
        <v>123921.731264825</v>
      </c>
      <c r="K36" s="18" t="n">
        <f aca="false">1/(1+$C$8)^A36</f>
        <v>0.676839362028687</v>
      </c>
      <c r="L36" s="19" t="n">
        <f aca="false">I36*K36*B36</f>
        <v>21543.1649621534</v>
      </c>
      <c r="M36" s="20" t="n">
        <f aca="false">(1+$C$17)^E36*(1-$C$7)*D36*K36*B36</f>
        <v>0.642313287931198</v>
      </c>
      <c r="N36" s="17" t="n">
        <f aca="false">IF(AND(B36=1,J36&gt;=0),A36,999)</f>
        <v>8</v>
      </c>
    </row>
    <row r="37" customFormat="false" ht="15" hidden="false" customHeight="false" outlineLevel="0" collapsed="false">
      <c r="A37" s="17" t="n">
        <v>9</v>
      </c>
      <c r="B37" s="5" t="n">
        <f aca="false">IF(A37&lt;=$C$9,1,0)</f>
        <v>1</v>
      </c>
      <c r="C37" s="18" t="n">
        <f aca="false">MAX(0,MIN(1,$C$10-(A37-1)))</f>
        <v>0</v>
      </c>
      <c r="D37" s="18" t="n">
        <f aca="false">MAX(0,MIN(1,A37-$C$24))</f>
        <v>1</v>
      </c>
      <c r="E37" s="18" t="n">
        <f aca="false">MAX(0,A37-$C$25)</f>
        <v>7</v>
      </c>
      <c r="F37" s="18" t="n">
        <f aca="false">MAX(0,MIN(A37,$C$10+$C$20)-MAX(A37-1,$C$10))</f>
        <v>1</v>
      </c>
      <c r="G37" s="19" t="n">
        <f aca="false">$C$5*(1+$C$6)^(A37-1)*(1-$C$7)</f>
        <v>57004.6536624427</v>
      </c>
      <c r="H37" s="19" t="n">
        <f aca="false">-$C$26*C37+$C$16*(1+$C$17)^E37*(1-$C$7)*D37-$C$23*F37</f>
        <v>90779.5494966121</v>
      </c>
      <c r="I37" s="19" t="n">
        <f aca="false">H37-G37</f>
        <v>33774.8958341694</v>
      </c>
      <c r="J37" s="19" t="n">
        <f aca="false">J36+I37</f>
        <v>157696.627098995</v>
      </c>
      <c r="K37" s="18" t="n">
        <f aca="false">1/(1+$C$8)^A37</f>
        <v>0.644608916217797</v>
      </c>
      <c r="L37" s="19" t="n">
        <f aca="false">I37*K37*B37</f>
        <v>21771.5989990329</v>
      </c>
      <c r="M37" s="20" t="n">
        <f aca="false">(1+$C$17)^E37*(1-$C$7)*D37*K37*B37</f>
        <v>0.636196018522329</v>
      </c>
      <c r="N37" s="17" t="n">
        <f aca="false">IF(AND(B37=1,J37&gt;=0),A37,999)</f>
        <v>9</v>
      </c>
    </row>
    <row r="38" customFormat="false" ht="15" hidden="false" customHeight="false" outlineLevel="0" collapsed="false">
      <c r="A38" s="17" t="n">
        <v>10</v>
      </c>
      <c r="B38" s="5" t="n">
        <f aca="false">IF(A38&lt;=$C$9,1,0)</f>
        <v>1</v>
      </c>
      <c r="C38" s="18" t="n">
        <f aca="false">MAX(0,MIN(1,$C$10-(A38-1)))</f>
        <v>0</v>
      </c>
      <c r="D38" s="18" t="n">
        <f aca="false">MAX(0,MIN(1,A38-$C$24))</f>
        <v>1</v>
      </c>
      <c r="E38" s="18" t="n">
        <f aca="false">MAX(0,A38-$C$25)</f>
        <v>8</v>
      </c>
      <c r="F38" s="18" t="n">
        <f aca="false">MAX(0,MIN(A38,$C$10+$C$20)-MAX(A38-1,$C$10))</f>
        <v>1</v>
      </c>
      <c r="G38" s="19" t="n">
        <f aca="false">$C$5*(1+$C$6)^(A38-1)*(1-$C$7)</f>
        <v>58714.793272316</v>
      </c>
      <c r="H38" s="19" t="n">
        <f aca="false">-$C$26*C38+$C$16*(1+$C$17)^E38*(1-$C$7)*D38-$C$23*F38</f>
        <v>94529.9550674343</v>
      </c>
      <c r="I38" s="19" t="n">
        <f aca="false">H38-G38</f>
        <v>35815.1617951182</v>
      </c>
      <c r="J38" s="19" t="n">
        <f aca="false">J37+I38</f>
        <v>193511.788894113</v>
      </c>
      <c r="K38" s="18" t="n">
        <f aca="false">1/(1+$C$8)^A38</f>
        <v>0.613913253540759</v>
      </c>
      <c r="L38" s="19" t="n">
        <f aca="false">I38*K38*B38</f>
        <v>21987.4025037297</v>
      </c>
      <c r="M38" s="20" t="n">
        <f aca="false">(1+$C$17)^E38*(1-$C$7)*D38*K38*B38</f>
        <v>0.630137008822117</v>
      </c>
      <c r="N38" s="17" t="n">
        <f aca="false">IF(AND(B38=1,J38&gt;=0),A38,999)</f>
        <v>10</v>
      </c>
    </row>
    <row r="39" customFormat="false" ht="15" hidden="false" customHeight="false" outlineLevel="0" collapsed="false">
      <c r="A39" s="17" t="n">
        <v>11</v>
      </c>
      <c r="B39" s="5" t="n">
        <f aca="false">IF(A39&lt;=$C$9,1,0)</f>
        <v>0</v>
      </c>
      <c r="C39" s="18" t="n">
        <f aca="false">MAX(0,MIN(1,$C$10-(A39-1)))</f>
        <v>0</v>
      </c>
      <c r="D39" s="18" t="n">
        <f aca="false">MAX(0,MIN(1,A39-$C$24))</f>
        <v>1</v>
      </c>
      <c r="E39" s="18" t="n">
        <f aca="false">MAX(0,A39-$C$25)</f>
        <v>9</v>
      </c>
      <c r="F39" s="18" t="n">
        <f aca="false">MAX(0,MIN(A39,$C$10+$C$20)-MAX(A39-1,$C$10))</f>
        <v>1</v>
      </c>
      <c r="G39" s="19" t="n">
        <f aca="false">$C$5*(1+$C$6)^(A39-1)*(1-$C$7)</f>
        <v>60476.2370704855</v>
      </c>
      <c r="H39" s="19" t="n">
        <f aca="false">-$C$26*C39+$C$16*(1+$C$17)^E39*(1-$C$7)*D39-$C$23*F39</f>
        <v>98430.3768610893</v>
      </c>
      <c r="I39" s="19" t="n">
        <f aca="false">H39-G39</f>
        <v>37954.1397906038</v>
      </c>
      <c r="J39" s="19" t="n">
        <f aca="false">J38+I39</f>
        <v>231465.928684717</v>
      </c>
      <c r="K39" s="18" t="n">
        <f aca="false">1/(1+$C$8)^A39</f>
        <v>0.584679289086437</v>
      </c>
      <c r="L39" s="19" t="n">
        <f aca="false">I39*K39*B39</f>
        <v>0</v>
      </c>
      <c r="M39" s="20" t="n">
        <f aca="false">(1+$C$17)^E39*(1-$C$7)*D39*K39*B39</f>
        <v>0</v>
      </c>
      <c r="N39" s="17" t="n">
        <f aca="false">IF(AND(B39=1,J39&gt;=0),A39,999)</f>
        <v>999</v>
      </c>
    </row>
    <row r="40" customFormat="false" ht="15" hidden="false" customHeight="false" outlineLevel="0" collapsed="false">
      <c r="A40" s="17" t="n">
        <v>12</v>
      </c>
      <c r="B40" s="5" t="n">
        <f aca="false">IF(A40&lt;=$C$9,1,0)</f>
        <v>0</v>
      </c>
      <c r="C40" s="18" t="n">
        <f aca="false">MAX(0,MIN(1,$C$10-(A40-1)))</f>
        <v>0</v>
      </c>
      <c r="D40" s="18" t="n">
        <f aca="false">MAX(0,MIN(1,A40-$C$24))</f>
        <v>1</v>
      </c>
      <c r="E40" s="18" t="n">
        <f aca="false">MAX(0,A40-$C$25)</f>
        <v>10</v>
      </c>
      <c r="F40" s="18" t="n">
        <f aca="false">MAX(0,MIN(A40,$C$10+$C$20)-MAX(A40-1,$C$10))</f>
        <v>0</v>
      </c>
      <c r="G40" s="19" t="n">
        <f aca="false">$C$5*(1+$C$6)^(A40-1)*(1-$C$7)</f>
        <v>62290.5241826001</v>
      </c>
      <c r="H40" s="19" t="n">
        <f aca="false">-$C$26*C40+$C$16*(1+$C$17)^E40*(1-$C$7)*D40-$C$23*F40</f>
        <v>105467.405300432</v>
      </c>
      <c r="I40" s="19" t="n">
        <f aca="false">H40-G40</f>
        <v>43176.881117832</v>
      </c>
      <c r="J40" s="19" t="n">
        <f aca="false">J39+I40</f>
        <v>274642.809802549</v>
      </c>
      <c r="K40" s="18" t="n">
        <f aca="false">1/(1+$C$8)^A40</f>
        <v>0.556837418177559</v>
      </c>
      <c r="L40" s="19" t="n">
        <f aca="false">I40*K40*B40</f>
        <v>0</v>
      </c>
      <c r="M40" s="20" t="n">
        <f aca="false">(1+$C$17)^E40*(1-$C$7)*D40*K40*B40</f>
        <v>0</v>
      </c>
      <c r="N40" s="17" t="n">
        <f aca="false">IF(AND(B40=1,J40&gt;=0),A40,999)</f>
        <v>999</v>
      </c>
    </row>
    <row r="41" customFormat="false" ht="15" hidden="false" customHeight="false" outlineLevel="0" collapsed="false">
      <c r="A41" s="17" t="n">
        <v>13</v>
      </c>
      <c r="B41" s="5" t="n">
        <f aca="false">IF(A41&lt;=$C$9,1,0)</f>
        <v>0</v>
      </c>
      <c r="C41" s="18" t="n">
        <f aca="false">MAX(0,MIN(1,$C$10-(A41-1)))</f>
        <v>0</v>
      </c>
      <c r="D41" s="18" t="n">
        <f aca="false">MAX(0,MIN(1,A41-$C$24))</f>
        <v>1</v>
      </c>
      <c r="E41" s="18" t="n">
        <f aca="false">MAX(0,A41-$C$25)</f>
        <v>11</v>
      </c>
      <c r="F41" s="18" t="n">
        <f aca="false">MAX(0,MIN(A41,$C$10+$C$20)-MAX(A41-1,$C$10))</f>
        <v>0</v>
      </c>
      <c r="G41" s="19" t="n">
        <f aca="false">$C$5*(1+$C$6)^(A41-1)*(1-$C$7)</f>
        <v>64159.2399080781</v>
      </c>
      <c r="H41" s="19" t="n">
        <f aca="false">-$C$26*C41+$C$16*(1+$C$17)^E41*(1-$C$7)*D41-$C$23*F41</f>
        <v>109686.101512449</v>
      </c>
      <c r="I41" s="19" t="n">
        <f aca="false">H41-G41</f>
        <v>45526.8616043713</v>
      </c>
      <c r="J41" s="19" t="n">
        <f aca="false">J40+I41</f>
        <v>320169.67140692</v>
      </c>
      <c r="K41" s="18" t="n">
        <f aca="false">1/(1+$C$8)^A41</f>
        <v>0.530321350645295</v>
      </c>
      <c r="L41" s="19" t="n">
        <f aca="false">I41*K41*B41</f>
        <v>0</v>
      </c>
      <c r="M41" s="20" t="n">
        <f aca="false">(1+$C$17)^E41*(1-$C$7)*D41*K41*B41</f>
        <v>0</v>
      </c>
      <c r="N41" s="17" t="n">
        <f aca="false">IF(AND(B41=1,J41&gt;=0),A41,999)</f>
        <v>999</v>
      </c>
    </row>
    <row r="42" customFormat="false" ht="15" hidden="false" customHeight="false" outlineLevel="0" collapsed="false">
      <c r="A42" s="17" t="n">
        <v>14</v>
      </c>
      <c r="B42" s="5" t="n">
        <f aca="false">IF(A42&lt;=$C$9,1,0)</f>
        <v>0</v>
      </c>
      <c r="C42" s="18" t="n">
        <f aca="false">MAX(0,MIN(1,$C$10-(A42-1)))</f>
        <v>0</v>
      </c>
      <c r="D42" s="18" t="n">
        <f aca="false">MAX(0,MIN(1,A42-$C$24))</f>
        <v>1</v>
      </c>
      <c r="E42" s="18" t="n">
        <f aca="false">MAX(0,A42-$C$25)</f>
        <v>12</v>
      </c>
      <c r="F42" s="18" t="n">
        <f aca="false">MAX(0,MIN(A42,$C$10+$C$20)-MAX(A42-1,$C$10))</f>
        <v>0</v>
      </c>
      <c r="G42" s="19" t="n">
        <f aca="false">$C$5*(1+$C$6)^(A42-1)*(1-$C$7)</f>
        <v>66084.0171053204</v>
      </c>
      <c r="H42" s="19" t="n">
        <f aca="false">-$C$26*C42+$C$16*(1+$C$17)^E42*(1-$C$7)*D42-$C$23*F42</f>
        <v>114073.545572947</v>
      </c>
      <c r="I42" s="19" t="n">
        <f aca="false">H42-G42</f>
        <v>47989.5284676269</v>
      </c>
      <c r="J42" s="19" t="n">
        <f aca="false">J41+I42</f>
        <v>368159.199874547</v>
      </c>
      <c r="K42" s="18" t="n">
        <f aca="false">1/(1+$C$8)^A42</f>
        <v>0.505067952995519</v>
      </c>
      <c r="L42" s="19" t="n">
        <f aca="false">I42*K42*B42</f>
        <v>0</v>
      </c>
      <c r="M42" s="20" t="n">
        <f aca="false">(1+$C$17)^E42*(1-$C$7)*D42*K42*B42</f>
        <v>0</v>
      </c>
      <c r="N42" s="17" t="n">
        <f aca="false">IF(AND(B42=1,J42&gt;=0),A42,999)</f>
        <v>999</v>
      </c>
    </row>
    <row r="43" customFormat="false" ht="15" hidden="false" customHeight="false" outlineLevel="0" collapsed="false">
      <c r="A43" s="17" t="n">
        <v>15</v>
      </c>
      <c r="B43" s="5" t="n">
        <f aca="false">IF(A43&lt;=$C$9,1,0)</f>
        <v>0</v>
      </c>
      <c r="C43" s="18" t="n">
        <f aca="false">MAX(0,MIN(1,$C$10-(A43-1)))</f>
        <v>0</v>
      </c>
      <c r="D43" s="18" t="n">
        <f aca="false">MAX(0,MIN(1,A43-$C$24))</f>
        <v>1</v>
      </c>
      <c r="E43" s="18" t="n">
        <f aca="false">MAX(0,A43-$C$25)</f>
        <v>13</v>
      </c>
      <c r="F43" s="18" t="n">
        <f aca="false">MAX(0,MIN(A43,$C$10+$C$20)-MAX(A43-1,$C$10))</f>
        <v>0</v>
      </c>
      <c r="G43" s="19" t="n">
        <f aca="false">$C$5*(1+$C$6)^(A43-1)*(1-$C$7)</f>
        <v>68066.53761848</v>
      </c>
      <c r="H43" s="19" t="n">
        <f aca="false">-$C$26*C43+$C$16*(1+$C$17)^E43*(1-$C$7)*D43-$C$23*F43</f>
        <v>118636.487395865</v>
      </c>
      <c r="I43" s="19" t="n">
        <f aca="false">H43-G43</f>
        <v>50569.9497773852</v>
      </c>
      <c r="J43" s="19" t="n">
        <f aca="false">J42+I43</f>
        <v>418729.149651932</v>
      </c>
      <c r="K43" s="18" t="n">
        <f aca="false">1/(1+$C$8)^A43</f>
        <v>0.48101709809097</v>
      </c>
      <c r="L43" s="19" t="n">
        <f aca="false">I43*K43*B43</f>
        <v>0</v>
      </c>
      <c r="M43" s="20" t="n">
        <f aca="false">(1+$C$17)^E43*(1-$C$7)*D43*K43*B43</f>
        <v>0</v>
      </c>
      <c r="N43" s="17" t="n">
        <f aca="false">IF(AND(B43=1,J43&gt;=0),A43,999)</f>
        <v>999</v>
      </c>
    </row>
    <row r="44" customFormat="false" ht="15" hidden="false" customHeight="false" outlineLevel="0" collapsed="false">
      <c r="A44" s="17" t="n">
        <v>16</v>
      </c>
      <c r="B44" s="5" t="n">
        <f aca="false">IF(A44&lt;=$C$9,1,0)</f>
        <v>0</v>
      </c>
      <c r="C44" s="18" t="n">
        <f aca="false">MAX(0,MIN(1,$C$10-(A44-1)))</f>
        <v>0</v>
      </c>
      <c r="D44" s="18" t="n">
        <f aca="false">MAX(0,MIN(1,A44-$C$24))</f>
        <v>1</v>
      </c>
      <c r="E44" s="18" t="n">
        <f aca="false">MAX(0,A44-$C$25)</f>
        <v>14</v>
      </c>
      <c r="F44" s="18" t="n">
        <f aca="false">MAX(0,MIN(A44,$C$10+$C$20)-MAX(A44-1,$C$10))</f>
        <v>0</v>
      </c>
      <c r="G44" s="19" t="n">
        <f aca="false">$C$5*(1+$C$6)^(A44-1)*(1-$C$7)</f>
        <v>70108.5337470344</v>
      </c>
      <c r="H44" s="19" t="n">
        <f aca="false">-$C$26*C44+$C$16*(1+$C$17)^E44*(1-$C$7)*D44-$C$23*F44</f>
        <v>123381.9468917</v>
      </c>
      <c r="I44" s="19" t="n">
        <f aca="false">H44-G44</f>
        <v>53273.4131446654</v>
      </c>
      <c r="J44" s="19" t="n">
        <f aca="false">J43+I44</f>
        <v>472002.562796597</v>
      </c>
      <c r="K44" s="18" t="n">
        <f aca="false">1/(1+$C$8)^A44</f>
        <v>0.4581115219914</v>
      </c>
      <c r="L44" s="19" t="n">
        <f aca="false">I44*K44*B44</f>
        <v>0</v>
      </c>
      <c r="M44" s="20" t="n">
        <f aca="false">(1+$C$17)^E44*(1-$C$7)*D44*K44*B44</f>
        <v>0</v>
      </c>
      <c r="N44" s="17" t="n">
        <f aca="false">IF(AND(B44=1,J44&gt;=0),A44,999)</f>
        <v>999</v>
      </c>
    </row>
    <row r="45" customFormat="false" ht="15" hidden="false" customHeight="false" outlineLevel="0" collapsed="false">
      <c r="A45" s="17" t="n">
        <v>17</v>
      </c>
      <c r="B45" s="5" t="n">
        <f aca="false">IF(A45&lt;=$C$9,1,0)</f>
        <v>0</v>
      </c>
      <c r="C45" s="18" t="n">
        <f aca="false">MAX(0,MIN(1,$C$10-(A45-1)))</f>
        <v>0</v>
      </c>
      <c r="D45" s="18" t="n">
        <f aca="false">MAX(0,MIN(1,A45-$C$24))</f>
        <v>1</v>
      </c>
      <c r="E45" s="18" t="n">
        <f aca="false">MAX(0,A45-$C$25)</f>
        <v>15</v>
      </c>
      <c r="F45" s="18" t="n">
        <f aca="false">MAX(0,MIN(A45,$C$10+$C$20)-MAX(A45-1,$C$10))</f>
        <v>0</v>
      </c>
      <c r="G45" s="19" t="n">
        <f aca="false">$C$5*(1+$C$6)^(A45-1)*(1-$C$7)</f>
        <v>72211.7897594455</v>
      </c>
      <c r="H45" s="19" t="n">
        <f aca="false">-$C$26*C45+$C$16*(1+$C$17)^E45*(1-$C$7)*D45-$C$23*F45</f>
        <v>128317.224767368</v>
      </c>
      <c r="I45" s="19" t="n">
        <f aca="false">H45-G45</f>
        <v>56105.4350079223</v>
      </c>
      <c r="J45" s="19" t="n">
        <f aca="false">J44+I45</f>
        <v>528107.99780452</v>
      </c>
      <c r="K45" s="18" t="n">
        <f aca="false">1/(1+$C$8)^A45</f>
        <v>0.436296687610857</v>
      </c>
      <c r="L45" s="19" t="n">
        <f aca="false">I45*K45*B45</f>
        <v>0</v>
      </c>
      <c r="M45" s="20" t="n">
        <f aca="false">(1+$C$17)^E45*(1-$C$7)*D45*K45*B45</f>
        <v>0</v>
      </c>
      <c r="N45" s="17" t="n">
        <f aca="false">IF(AND(B45=1,J45&gt;=0),A45,999)</f>
        <v>999</v>
      </c>
    </row>
    <row r="46" customFormat="false" ht="15" hidden="false" customHeight="false" outlineLevel="0" collapsed="false">
      <c r="A46" s="17" t="n">
        <v>18</v>
      </c>
      <c r="B46" s="5" t="n">
        <f aca="false">IF(A46&lt;=$C$9,1,0)</f>
        <v>0</v>
      </c>
      <c r="C46" s="18" t="n">
        <f aca="false">MAX(0,MIN(1,$C$10-(A46-1)))</f>
        <v>0</v>
      </c>
      <c r="D46" s="18" t="n">
        <f aca="false">MAX(0,MIN(1,A46-$C$24))</f>
        <v>1</v>
      </c>
      <c r="E46" s="18" t="n">
        <f aca="false">MAX(0,A46-$C$25)</f>
        <v>16</v>
      </c>
      <c r="F46" s="18" t="n">
        <f aca="false">MAX(0,MIN(A46,$C$10+$C$20)-MAX(A46-1,$C$10))</f>
        <v>0</v>
      </c>
      <c r="G46" s="19" t="n">
        <f aca="false">$C$5*(1+$C$6)^(A46-1)*(1-$C$7)</f>
        <v>74378.1434522288</v>
      </c>
      <c r="H46" s="19" t="n">
        <f aca="false">-$C$26*C46+$C$16*(1+$C$17)^E46*(1-$C$7)*D46-$C$23*F46</f>
        <v>133449.913758063</v>
      </c>
      <c r="I46" s="19" t="n">
        <f aca="false">H46-G46</f>
        <v>59071.7703058337</v>
      </c>
      <c r="J46" s="19" t="n">
        <f aca="false">J45+I46</f>
        <v>587179.768110353</v>
      </c>
      <c r="K46" s="18" t="n">
        <f aca="false">1/(1+$C$8)^A46</f>
        <v>0.415520654867483</v>
      </c>
      <c r="L46" s="19" t="n">
        <f aca="false">I46*K46*B46</f>
        <v>0</v>
      </c>
      <c r="M46" s="20" t="n">
        <f aca="false">(1+$C$17)^E46*(1-$C$7)*D46*K46*B46</f>
        <v>0</v>
      </c>
      <c r="N46" s="17" t="n">
        <f aca="false">IF(AND(B46=1,J46&gt;=0),A46,999)</f>
        <v>999</v>
      </c>
    </row>
    <row r="47" customFormat="false" ht="15" hidden="false" customHeight="false" outlineLevel="0" collapsed="false">
      <c r="A47" s="17" t="n">
        <v>19</v>
      </c>
      <c r="B47" s="5" t="n">
        <f aca="false">IF(A47&lt;=$C$9,1,0)</f>
        <v>0</v>
      </c>
      <c r="C47" s="18" t="n">
        <f aca="false">MAX(0,MIN(1,$C$10-(A47-1)))</f>
        <v>0</v>
      </c>
      <c r="D47" s="18" t="n">
        <f aca="false">MAX(0,MIN(1,A47-$C$24))</f>
        <v>1</v>
      </c>
      <c r="E47" s="18" t="n">
        <f aca="false">MAX(0,A47-$C$25)</f>
        <v>17</v>
      </c>
      <c r="F47" s="18" t="n">
        <f aca="false">MAX(0,MIN(A47,$C$10+$C$20)-MAX(A47-1,$C$10))</f>
        <v>0</v>
      </c>
      <c r="G47" s="19" t="n">
        <f aca="false">$C$5*(1+$C$6)^(A47-1)*(1-$C$7)</f>
        <v>76609.4877557957</v>
      </c>
      <c r="H47" s="19" t="n">
        <f aca="false">-$C$26*C47+$C$16*(1+$C$17)^E47*(1-$C$7)*D47-$C$23*F47</f>
        <v>138787.910308385</v>
      </c>
      <c r="I47" s="19" t="n">
        <f aca="false">H47-G47</f>
        <v>62178.4225525893</v>
      </c>
      <c r="J47" s="19" t="n">
        <f aca="false">J46+I47</f>
        <v>649358.190662943</v>
      </c>
      <c r="K47" s="18" t="n">
        <f aca="false">1/(1+$C$8)^A47</f>
        <v>0.39573395701665</v>
      </c>
      <c r="L47" s="19" t="n">
        <f aca="false">I47*K47*B47</f>
        <v>0</v>
      </c>
      <c r="M47" s="20" t="n">
        <f aca="false">(1+$C$17)^E47*(1-$C$7)*D47*K47*B47</f>
        <v>0</v>
      </c>
      <c r="N47" s="17" t="n">
        <f aca="false">IF(AND(B47=1,J47&gt;=0),A47,999)</f>
        <v>999</v>
      </c>
    </row>
    <row r="48" customFormat="false" ht="15" hidden="false" customHeight="false" outlineLevel="0" collapsed="false">
      <c r="A48" s="17" t="n">
        <v>20</v>
      </c>
      <c r="B48" s="5" t="n">
        <f aca="false">IF(A48&lt;=$C$9,1,0)</f>
        <v>0</v>
      </c>
      <c r="C48" s="18" t="n">
        <f aca="false">MAX(0,MIN(1,$C$10-(A48-1)))</f>
        <v>0</v>
      </c>
      <c r="D48" s="18" t="n">
        <f aca="false">MAX(0,MIN(1,A48-$C$24))</f>
        <v>1</v>
      </c>
      <c r="E48" s="18" t="n">
        <f aca="false">MAX(0,A48-$C$25)</f>
        <v>18</v>
      </c>
      <c r="F48" s="18" t="n">
        <f aca="false">MAX(0,MIN(A48,$C$10+$C$20)-MAX(A48-1,$C$10))</f>
        <v>0</v>
      </c>
      <c r="G48" s="19" t="n">
        <f aca="false">$C$5*(1+$C$6)^(A48-1)*(1-$C$7)</f>
        <v>78907.7723884696</v>
      </c>
      <c r="H48" s="19" t="n">
        <f aca="false">-$C$26*C48+$C$16*(1+$C$17)^E48*(1-$C$7)*D48-$C$23*F48</f>
        <v>144339.42672072</v>
      </c>
      <c r="I48" s="19" t="n">
        <f aca="false">H48-G48</f>
        <v>65431.6543322509</v>
      </c>
      <c r="J48" s="19" t="n">
        <f aca="false">J47+I48</f>
        <v>714789.844995194</v>
      </c>
      <c r="K48" s="18" t="n">
        <f aca="false">1/(1+$C$8)^A48</f>
        <v>0.376889482873</v>
      </c>
      <c r="L48" s="19" t="n">
        <f aca="false">I48*K48*B48</f>
        <v>0</v>
      </c>
      <c r="M48" s="20" t="n">
        <f aca="false">(1+$C$17)^E48*(1-$C$7)*D48*K48*B48</f>
        <v>0</v>
      </c>
      <c r="N48" s="17" t="n">
        <f aca="false">IF(AND(B48=1,J48&gt;=0),A48,999)</f>
        <v>999</v>
      </c>
    </row>
    <row r="50" customFormat="false" ht="15" hidden="false" customHeight="false" outlineLevel="0" collapsed="false">
      <c r="A50" s="3" t="s">
        <v>92</v>
      </c>
    </row>
    <row r="51" customFormat="false" ht="15" hidden="false" customHeight="false" outlineLevel="0" collapsed="false">
      <c r="A51" s="0" t="s">
        <v>93</v>
      </c>
      <c r="C51" s="21" t="n">
        <f aca="false">IF(MIN(N29:N48)=999,"Not within horizon",MIN(N29:N48))</f>
        <v>4</v>
      </c>
    </row>
    <row r="52" customFormat="false" ht="15" hidden="false" customHeight="false" outlineLevel="0" collapsed="false">
      <c r="A52" s="0" t="s">
        <v>94</v>
      </c>
      <c r="C52" s="22" t="n">
        <f aca="false">SUM(L29:L48)</f>
        <v>129985.681819488</v>
      </c>
    </row>
    <row r="53" customFormat="false" ht="15" hidden="false" customHeight="false" outlineLevel="0" collapsed="false">
      <c r="A53" s="0" t="s">
        <v>95</v>
      </c>
      <c r="C53" s="23" t="n">
        <f aca="false">SUM(M29:M48)</f>
        <v>5.7242544838604</v>
      </c>
    </row>
    <row r="54" customFormat="false" ht="15" hidden="false" customHeight="false" outlineLevel="0" collapsed="false">
      <c r="A54" s="0" t="s">
        <v>96</v>
      </c>
      <c r="C54" s="22" t="n">
        <f aca="false">IF(C53=0,"n/a",($C$16*C53-C52)/C53)</f>
        <v>72292.1203650216</v>
      </c>
    </row>
    <row r="55" customFormat="false" ht="15" hidden="false" customHeight="false" outlineLevel="0" collapsed="false">
      <c r="A55" s="0" t="s">
        <v>97</v>
      </c>
      <c r="C55" s="22" t="n">
        <f aca="false">IF(C53=0,"n/a",C52+(C54-$C$16)*C53)</f>
        <v>0</v>
      </c>
    </row>
    <row r="56" customFormat="false" ht="15" hidden="false" customHeight="false" outlineLevel="0" collapsed="false">
      <c r="A56" s="0" t="s">
        <v>98</v>
      </c>
      <c r="C56" s="22" t="n">
        <f aca="false">INDEX(J29:J48,$C$9)</f>
        <v>193511.788894113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8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6.15" hidden="false" customHeight="false" outlineLevel="0" collapsed="false">
      <c r="A1" s="1" t="s">
        <v>25</v>
      </c>
    </row>
    <row r="2" customFormat="false" ht="15" hidden="false" customHeight="false" outlineLevel="0" collapsed="false">
      <c r="A2" s="8" t="s">
        <v>99</v>
      </c>
    </row>
    <row r="4" customFormat="false" ht="15" hidden="false" customHeight="false" outlineLevel="0" collapsed="false">
      <c r="A4" s="3" t="s">
        <v>35</v>
      </c>
      <c r="B4" s="3" t="s">
        <v>36</v>
      </c>
    </row>
    <row r="5" customFormat="false" ht="15" hidden="false" customHeight="false" outlineLevel="0" collapsed="false">
      <c r="A5" s="2" t="s">
        <v>37</v>
      </c>
      <c r="B5" s="2" t="s">
        <v>38</v>
      </c>
      <c r="C5" s="9" t="n">
        <v>70000</v>
      </c>
    </row>
    <row r="6" customFormat="false" ht="15" hidden="false" customHeight="false" outlineLevel="0" collapsed="false">
      <c r="A6" s="2" t="s">
        <v>39</v>
      </c>
      <c r="B6" s="2" t="s">
        <v>40</v>
      </c>
      <c r="C6" s="10" t="n">
        <v>0.03</v>
      </c>
    </row>
    <row r="7" customFormat="false" ht="15" hidden="false" customHeight="false" outlineLevel="0" collapsed="false">
      <c r="A7" s="2" t="s">
        <v>41</v>
      </c>
      <c r="B7" s="2" t="s">
        <v>42</v>
      </c>
      <c r="C7" s="10" t="n">
        <v>0.25</v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v>0.05</v>
      </c>
    </row>
    <row r="9" customFormat="false" ht="15" hidden="false" customHeight="false" outlineLevel="0" collapsed="false">
      <c r="A9" s="2" t="s">
        <v>45</v>
      </c>
      <c r="B9" s="2" t="s">
        <v>46</v>
      </c>
      <c r="C9" s="11" t="n">
        <v>10</v>
      </c>
    </row>
    <row r="10" customFormat="false" ht="15" hidden="false" customHeight="false" outlineLevel="0" collapsed="false">
      <c r="A10" s="2" t="s">
        <v>47</v>
      </c>
      <c r="B10" s="2" t="s">
        <v>48</v>
      </c>
      <c r="C10" s="12" t="n">
        <v>2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9" t="n">
        <v>120000</v>
      </c>
    </row>
    <row r="12" customFormat="false" ht="15" hidden="false" customHeight="false" outlineLevel="0" collapsed="false">
      <c r="A12" s="2" t="s">
        <v>51</v>
      </c>
      <c r="B12" s="2" t="s">
        <v>52</v>
      </c>
      <c r="C12" s="9" t="n">
        <v>0</v>
      </c>
    </row>
    <row r="13" customFormat="false" ht="15" hidden="false" customHeight="false" outlineLevel="0" collapsed="false">
      <c r="A13" s="2" t="s">
        <v>53</v>
      </c>
      <c r="B13" s="2" t="s">
        <v>54</v>
      </c>
      <c r="C13" s="9" t="n"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9" t="n">
        <v>0</v>
      </c>
    </row>
    <row r="15" customFormat="false" ht="15" hidden="false" customHeight="false" outlineLevel="0" collapsed="false">
      <c r="A15" s="2" t="s">
        <v>57</v>
      </c>
      <c r="B15" s="2" t="s">
        <v>58</v>
      </c>
      <c r="C15" s="11" t="n">
        <v>3</v>
      </c>
    </row>
    <row r="16" customFormat="false" ht="15" hidden="false" customHeight="false" outlineLevel="0" collapsed="false">
      <c r="A16" s="2" t="s">
        <v>59</v>
      </c>
      <c r="B16" s="2" t="s">
        <v>60</v>
      </c>
      <c r="C16" s="9" t="n">
        <v>80000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10" t="n">
        <v>0.04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9" t="n">
        <v>100000</v>
      </c>
    </row>
    <row r="19" customFormat="false" ht="15" hidden="false" customHeight="false" outlineLevel="0" collapsed="false">
      <c r="A19" s="2" t="s">
        <v>65</v>
      </c>
      <c r="B19" s="2" t="s">
        <v>66</v>
      </c>
      <c r="C19" s="10" t="n">
        <v>0.08</v>
      </c>
    </row>
    <row r="20" customFormat="false" ht="15" hidden="false" customHeight="false" outlineLevel="0" collapsed="false">
      <c r="A20" s="2" t="s">
        <v>67</v>
      </c>
      <c r="B20" s="2" t="s">
        <v>68</v>
      </c>
      <c r="C20" s="11" t="n">
        <v>10</v>
      </c>
    </row>
    <row r="22" customFormat="false" ht="15" hidden="false" customHeight="false" outlineLevel="0" collapsed="false">
      <c r="A22" s="3" t="s">
        <v>69</v>
      </c>
    </row>
    <row r="23" customFormat="false" ht="15" hidden="false" customHeight="false" outlineLevel="0" collapsed="false">
      <c r="A23" s="0" t="s">
        <v>70</v>
      </c>
      <c r="B23" s="0" t="s">
        <v>71</v>
      </c>
      <c r="C23" s="13" t="n">
        <f aca="false">IF($C$18=0,0,$C$18*$C$19/(1-(1+$C$19)^(-$C$20)))</f>
        <v>14902.9488697075</v>
      </c>
    </row>
    <row r="24" customFormat="false" ht="15" hidden="false" customHeight="false" outlineLevel="0" collapsed="false">
      <c r="A24" s="0" t="s">
        <v>72</v>
      </c>
      <c r="B24" s="0" t="s">
        <v>73</v>
      </c>
      <c r="C24" s="14" t="n">
        <f aca="false">$C$10+$C$15/12</f>
        <v>2.25</v>
      </c>
    </row>
    <row r="25" customFormat="false" ht="15" hidden="false" customHeight="false" outlineLevel="0" collapsed="false">
      <c r="A25" s="0" t="s">
        <v>74</v>
      </c>
      <c r="B25" s="0" t="s">
        <v>75</v>
      </c>
      <c r="C25" s="15" t="n">
        <f aca="false">INT($C$24)+1</f>
        <v>3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13" t="n">
        <f aca="false">($C$11-$C$12-$C$18)/$C$10+$C$14-$C$13*(1-$C$7)</f>
        <v>10000</v>
      </c>
    </row>
    <row r="28" customFormat="false" ht="42" hidden="false" customHeight="true" outlineLevel="0" collapsed="false">
      <c r="A28" s="16" t="s">
        <v>78</v>
      </c>
      <c r="B28" s="16" t="s">
        <v>79</v>
      </c>
      <c r="C28" s="16" t="s">
        <v>80</v>
      </c>
      <c r="D28" s="16" t="s">
        <v>81</v>
      </c>
      <c r="E28" s="16" t="s">
        <v>82</v>
      </c>
      <c r="F28" s="16" t="s">
        <v>83</v>
      </c>
      <c r="G28" s="16" t="s">
        <v>84</v>
      </c>
      <c r="H28" s="16" t="s">
        <v>85</v>
      </c>
      <c r="I28" s="16" t="s">
        <v>86</v>
      </c>
      <c r="J28" s="16" t="s">
        <v>87</v>
      </c>
      <c r="K28" s="16" t="s">
        <v>88</v>
      </c>
      <c r="L28" s="16" t="s">
        <v>89</v>
      </c>
      <c r="M28" s="16" t="s">
        <v>90</v>
      </c>
      <c r="N28" s="16" t="s">
        <v>91</v>
      </c>
    </row>
    <row r="29" customFormat="false" ht="15" hidden="false" customHeight="false" outlineLevel="0" collapsed="false">
      <c r="A29" s="17" t="n">
        <v>1</v>
      </c>
      <c r="B29" s="5" t="n">
        <f aca="false">IF(A29&lt;=$C$9,1,0)</f>
        <v>1</v>
      </c>
      <c r="C29" s="18" t="n">
        <f aca="false">MAX(0,MIN(1,$C$10-(A29-1)))</f>
        <v>1</v>
      </c>
      <c r="D29" s="18" t="n">
        <f aca="false">MAX(0,MIN(1,A29-$C$24))</f>
        <v>0</v>
      </c>
      <c r="E29" s="18" t="n">
        <f aca="false">MAX(0,A29-$C$25)</f>
        <v>0</v>
      </c>
      <c r="F29" s="18" t="n">
        <f aca="false">MAX(0,MIN(A29,$C$10+$C$20)-MAX(A29-1,$C$10))</f>
        <v>0</v>
      </c>
      <c r="G29" s="19" t="n">
        <f aca="false">$C$5*(1+$C$6)^(A29-1)*(1-$C$7)</f>
        <v>52500</v>
      </c>
      <c r="H29" s="19" t="n">
        <f aca="false">-$C$26*C29+$C$16*(1+$C$17)^E29*(1-$C$7)*D29-$C$23*F29</f>
        <v>-10000</v>
      </c>
      <c r="I29" s="19" t="n">
        <f aca="false">H29-G29</f>
        <v>-62500</v>
      </c>
      <c r="J29" s="19" t="n">
        <f aca="false">I29</f>
        <v>-62500</v>
      </c>
      <c r="K29" s="18" t="n">
        <f aca="false">1/(1+$C$8)^A29</f>
        <v>0.952380952380952</v>
      </c>
      <c r="L29" s="19" t="n">
        <f aca="false">I29*K29*B29</f>
        <v>-59523.8095238095</v>
      </c>
      <c r="M29" s="20" t="n">
        <f aca="false">(1+$C$17)^E29*(1-$C$7)*D29*K29*B29</f>
        <v>0</v>
      </c>
      <c r="N29" s="17" t="n">
        <f aca="false">IF(AND(B29=1,J29&gt;=0),A29,999)</f>
        <v>999</v>
      </c>
    </row>
    <row r="30" customFormat="false" ht="15" hidden="false" customHeight="false" outlineLevel="0" collapsed="false">
      <c r="A30" s="17" t="n">
        <v>2</v>
      </c>
      <c r="B30" s="5" t="n">
        <f aca="false">IF(A30&lt;=$C$9,1,0)</f>
        <v>1</v>
      </c>
      <c r="C30" s="18" t="n">
        <f aca="false">MAX(0,MIN(1,$C$10-(A30-1)))</f>
        <v>1</v>
      </c>
      <c r="D30" s="18" t="n">
        <f aca="false">MAX(0,MIN(1,A30-$C$24))</f>
        <v>0</v>
      </c>
      <c r="E30" s="18" t="n">
        <f aca="false">MAX(0,A30-$C$25)</f>
        <v>0</v>
      </c>
      <c r="F30" s="18" t="n">
        <f aca="false">MAX(0,MIN(A30,$C$10+$C$20)-MAX(A30-1,$C$10))</f>
        <v>0</v>
      </c>
      <c r="G30" s="19" t="n">
        <f aca="false">$C$5*(1+$C$6)^(A30-1)*(1-$C$7)</f>
        <v>54075</v>
      </c>
      <c r="H30" s="19" t="n">
        <f aca="false">-$C$26*C30+$C$16*(1+$C$17)^E30*(1-$C$7)*D30-$C$23*F30</f>
        <v>-10000</v>
      </c>
      <c r="I30" s="19" t="n">
        <f aca="false">H30-G30</f>
        <v>-64075</v>
      </c>
      <c r="J30" s="19" t="n">
        <f aca="false">J29+I30</f>
        <v>-126575</v>
      </c>
      <c r="K30" s="18" t="n">
        <f aca="false">1/(1+$C$8)^A30</f>
        <v>0.90702947845805</v>
      </c>
      <c r="L30" s="19" t="n">
        <f aca="false">I30*K30*B30</f>
        <v>-58117.9138321995</v>
      </c>
      <c r="M30" s="20" t="n">
        <f aca="false">(1+$C$17)^E30*(1-$C$7)*D30*K30*B30</f>
        <v>0</v>
      </c>
      <c r="N30" s="17" t="n">
        <f aca="false">IF(AND(B30=1,J30&gt;=0),A30,999)</f>
        <v>999</v>
      </c>
    </row>
    <row r="31" customFormat="false" ht="15" hidden="false" customHeight="false" outlineLevel="0" collapsed="false">
      <c r="A31" s="17" t="n">
        <v>3</v>
      </c>
      <c r="B31" s="5" t="n">
        <f aca="false">IF(A31&lt;=$C$9,1,0)</f>
        <v>1</v>
      </c>
      <c r="C31" s="18" t="n">
        <f aca="false">MAX(0,MIN(1,$C$10-(A31-1)))</f>
        <v>0</v>
      </c>
      <c r="D31" s="18" t="n">
        <f aca="false">MAX(0,MIN(1,A31-$C$24))</f>
        <v>0.75</v>
      </c>
      <c r="E31" s="18" t="n">
        <f aca="false">MAX(0,A31-$C$25)</f>
        <v>0</v>
      </c>
      <c r="F31" s="18" t="n">
        <f aca="false">MAX(0,MIN(A31,$C$10+$C$20)-MAX(A31-1,$C$10))</f>
        <v>1</v>
      </c>
      <c r="G31" s="19" t="n">
        <f aca="false">$C$5*(1+$C$6)^(A31-1)*(1-$C$7)</f>
        <v>55697.25</v>
      </c>
      <c r="H31" s="19" t="n">
        <f aca="false">-$C$26*C31+$C$16*(1+$C$17)^E31*(1-$C$7)*D31-$C$23*F31</f>
        <v>30097.0511302925</v>
      </c>
      <c r="I31" s="19" t="n">
        <f aca="false">H31-G31</f>
        <v>-25600.1988697075</v>
      </c>
      <c r="J31" s="19" t="n">
        <f aca="false">J30+I31</f>
        <v>-152175.198869708</v>
      </c>
      <c r="K31" s="18" t="n">
        <f aca="false">1/(1+$C$8)^A31</f>
        <v>0.863837598531476</v>
      </c>
      <c r="L31" s="19" t="n">
        <f aca="false">I31*K31*B31</f>
        <v>-22114.4143135364</v>
      </c>
      <c r="M31" s="20" t="n">
        <f aca="false">(1+$C$17)^E31*(1-$C$7)*D31*K31*B31</f>
        <v>0.485908649173955</v>
      </c>
      <c r="N31" s="17" t="n">
        <f aca="false">IF(AND(B31=1,J31&gt;=0),A31,999)</f>
        <v>999</v>
      </c>
    </row>
    <row r="32" customFormat="false" ht="15" hidden="false" customHeight="false" outlineLevel="0" collapsed="false">
      <c r="A32" s="17" t="n">
        <v>4</v>
      </c>
      <c r="B32" s="5" t="n">
        <f aca="false">IF(A32&lt;=$C$9,1,0)</f>
        <v>1</v>
      </c>
      <c r="C32" s="18" t="n">
        <f aca="false">MAX(0,MIN(1,$C$10-(A32-1)))</f>
        <v>0</v>
      </c>
      <c r="D32" s="18" t="n">
        <f aca="false">MAX(0,MIN(1,A32-$C$24))</f>
        <v>1</v>
      </c>
      <c r="E32" s="18" t="n">
        <f aca="false">MAX(0,A32-$C$25)</f>
        <v>1</v>
      </c>
      <c r="F32" s="18" t="n">
        <f aca="false">MAX(0,MIN(A32,$C$10+$C$20)-MAX(A32-1,$C$10))</f>
        <v>1</v>
      </c>
      <c r="G32" s="19" t="n">
        <f aca="false">$C$5*(1+$C$6)^(A32-1)*(1-$C$7)</f>
        <v>57368.1675</v>
      </c>
      <c r="H32" s="19" t="n">
        <f aca="false">-$C$26*C32+$C$16*(1+$C$17)^E32*(1-$C$7)*D32-$C$23*F32</f>
        <v>47497.0511302925</v>
      </c>
      <c r="I32" s="19" t="n">
        <f aca="false">H32-G32</f>
        <v>-9871.11636970753</v>
      </c>
      <c r="J32" s="19" t="n">
        <f aca="false">J31+I32</f>
        <v>-162046.315239415</v>
      </c>
      <c r="K32" s="18" t="n">
        <f aca="false">1/(1+$C$8)^A32</f>
        <v>0.822702474791882</v>
      </c>
      <c r="L32" s="19" t="n">
        <f aca="false">I32*K32*B32</f>
        <v>-8120.99186631704</v>
      </c>
      <c r="M32" s="20" t="n">
        <f aca="false">(1+$C$17)^E32*(1-$C$7)*D32*K32*B32</f>
        <v>0.641707930337668</v>
      </c>
      <c r="N32" s="17" t="n">
        <f aca="false">IF(AND(B32=1,J32&gt;=0),A32,999)</f>
        <v>999</v>
      </c>
    </row>
    <row r="33" customFormat="false" ht="15" hidden="false" customHeight="false" outlineLevel="0" collapsed="false">
      <c r="A33" s="17" t="n">
        <v>5</v>
      </c>
      <c r="B33" s="5" t="n">
        <f aca="false">IF(A33&lt;=$C$9,1,0)</f>
        <v>1</v>
      </c>
      <c r="C33" s="18" t="n">
        <f aca="false">MAX(0,MIN(1,$C$10-(A33-1)))</f>
        <v>0</v>
      </c>
      <c r="D33" s="18" t="n">
        <f aca="false">MAX(0,MIN(1,A33-$C$24))</f>
        <v>1</v>
      </c>
      <c r="E33" s="18" t="n">
        <f aca="false">MAX(0,A33-$C$25)</f>
        <v>2</v>
      </c>
      <c r="F33" s="18" t="n">
        <f aca="false">MAX(0,MIN(A33,$C$10+$C$20)-MAX(A33-1,$C$10))</f>
        <v>1</v>
      </c>
      <c r="G33" s="19" t="n">
        <f aca="false">$C$5*(1+$C$6)^(A33-1)*(1-$C$7)</f>
        <v>59089.212525</v>
      </c>
      <c r="H33" s="19" t="n">
        <f aca="false">-$C$26*C33+$C$16*(1+$C$17)^E33*(1-$C$7)*D33-$C$23*F33</f>
        <v>49993.0511302925</v>
      </c>
      <c r="I33" s="19" t="n">
        <f aca="false">H33-G33</f>
        <v>-9096.16139470753</v>
      </c>
      <c r="J33" s="19" t="n">
        <f aca="false">J32+I33</f>
        <v>-171142.476634123</v>
      </c>
      <c r="K33" s="18" t="n">
        <f aca="false">1/(1+$C$8)^A33</f>
        <v>0.783526166468459</v>
      </c>
      <c r="L33" s="19" t="n">
        <f aca="false">I33*K33*B33</f>
        <v>-7127.08046717358</v>
      </c>
      <c r="M33" s="20" t="n">
        <f aca="false">(1+$C$17)^E33*(1-$C$7)*D33*K33*B33</f>
        <v>0.635596426239214</v>
      </c>
      <c r="N33" s="17" t="n">
        <f aca="false">IF(AND(B33=1,J33&gt;=0),A33,999)</f>
        <v>999</v>
      </c>
    </row>
    <row r="34" customFormat="false" ht="15" hidden="false" customHeight="false" outlineLevel="0" collapsed="false">
      <c r="A34" s="17" t="n">
        <v>6</v>
      </c>
      <c r="B34" s="5" t="n">
        <f aca="false">IF(A34&lt;=$C$9,1,0)</f>
        <v>1</v>
      </c>
      <c r="C34" s="18" t="n">
        <f aca="false">MAX(0,MIN(1,$C$10-(A34-1)))</f>
        <v>0</v>
      </c>
      <c r="D34" s="18" t="n">
        <f aca="false">MAX(0,MIN(1,A34-$C$24))</f>
        <v>1</v>
      </c>
      <c r="E34" s="18" t="n">
        <f aca="false">MAX(0,A34-$C$25)</f>
        <v>3</v>
      </c>
      <c r="F34" s="18" t="n">
        <f aca="false">MAX(0,MIN(A34,$C$10+$C$20)-MAX(A34-1,$C$10))</f>
        <v>1</v>
      </c>
      <c r="G34" s="19" t="n">
        <f aca="false">$C$5*(1+$C$6)^(A34-1)*(1-$C$7)</f>
        <v>60861.88890075</v>
      </c>
      <c r="H34" s="19" t="n">
        <f aca="false">-$C$26*C34+$C$16*(1+$C$17)^E34*(1-$C$7)*D34-$C$23*F34</f>
        <v>52588.8911302925</v>
      </c>
      <c r="I34" s="19" t="n">
        <f aca="false">H34-G34</f>
        <v>-8272.99777045752</v>
      </c>
      <c r="J34" s="19" t="n">
        <f aca="false">J33+I34</f>
        <v>-179415.47440458</v>
      </c>
      <c r="K34" s="18" t="n">
        <f aca="false">1/(1+$C$8)^A34</f>
        <v>0.746215396636627</v>
      </c>
      <c r="L34" s="19" t="n">
        <f aca="false">I34*K34*B34</f>
        <v>-6173.43831265589</v>
      </c>
      <c r="M34" s="20" t="n">
        <f aca="false">(1+$C$17)^E34*(1-$C$7)*D34*K34*B34</f>
        <v>0.629543126941698</v>
      </c>
      <c r="N34" s="17" t="n">
        <f aca="false">IF(AND(B34=1,J34&gt;=0),A34,999)</f>
        <v>999</v>
      </c>
    </row>
    <row r="35" customFormat="false" ht="15" hidden="false" customHeight="false" outlineLevel="0" collapsed="false">
      <c r="A35" s="17" t="n">
        <v>7</v>
      </c>
      <c r="B35" s="5" t="n">
        <f aca="false">IF(A35&lt;=$C$9,1,0)</f>
        <v>1</v>
      </c>
      <c r="C35" s="18" t="n">
        <f aca="false">MAX(0,MIN(1,$C$10-(A35-1)))</f>
        <v>0</v>
      </c>
      <c r="D35" s="18" t="n">
        <f aca="false">MAX(0,MIN(1,A35-$C$24))</f>
        <v>1</v>
      </c>
      <c r="E35" s="18" t="n">
        <f aca="false">MAX(0,A35-$C$25)</f>
        <v>4</v>
      </c>
      <c r="F35" s="18" t="n">
        <f aca="false">MAX(0,MIN(A35,$C$10+$C$20)-MAX(A35-1,$C$10))</f>
        <v>1</v>
      </c>
      <c r="G35" s="19" t="n">
        <f aca="false">$C$5*(1+$C$6)^(A35-1)*(1-$C$7)</f>
        <v>62687.7455677725</v>
      </c>
      <c r="H35" s="19" t="n">
        <f aca="false">-$C$26*C35+$C$16*(1+$C$17)^E35*(1-$C$7)*D35-$C$23*F35</f>
        <v>55288.5647302925</v>
      </c>
      <c r="I35" s="19" t="n">
        <f aca="false">H35-G35</f>
        <v>-7399.18083748004</v>
      </c>
      <c r="J35" s="19" t="n">
        <f aca="false">J34+I35</f>
        <v>-186814.65524206</v>
      </c>
      <c r="K35" s="18" t="n">
        <f aca="false">1/(1+$C$8)^A35</f>
        <v>0.710681330130121</v>
      </c>
      <c r="L35" s="19" t="n">
        <f aca="false">I35*K35*B35</f>
        <v>-5258.45967945362</v>
      </c>
      <c r="M35" s="20" t="n">
        <f aca="false">(1+$C$17)^E35*(1-$C$7)*D35*K35*B35</f>
        <v>0.623547478113681</v>
      </c>
      <c r="N35" s="17" t="n">
        <f aca="false">IF(AND(B35=1,J35&gt;=0),A35,999)</f>
        <v>999</v>
      </c>
    </row>
    <row r="36" customFormat="false" ht="15" hidden="false" customHeight="false" outlineLevel="0" collapsed="false">
      <c r="A36" s="17" t="n">
        <v>8</v>
      </c>
      <c r="B36" s="5" t="n">
        <f aca="false">IF(A36&lt;=$C$9,1,0)</f>
        <v>1</v>
      </c>
      <c r="C36" s="18" t="n">
        <f aca="false">MAX(0,MIN(1,$C$10-(A36-1)))</f>
        <v>0</v>
      </c>
      <c r="D36" s="18" t="n">
        <f aca="false">MAX(0,MIN(1,A36-$C$24))</f>
        <v>1</v>
      </c>
      <c r="E36" s="18" t="n">
        <f aca="false">MAX(0,A36-$C$25)</f>
        <v>5</v>
      </c>
      <c r="F36" s="18" t="n">
        <f aca="false">MAX(0,MIN(A36,$C$10+$C$20)-MAX(A36-1,$C$10))</f>
        <v>1</v>
      </c>
      <c r="G36" s="19" t="n">
        <f aca="false">$C$5*(1+$C$6)^(A36-1)*(1-$C$7)</f>
        <v>64568.3779348057</v>
      </c>
      <c r="H36" s="19" t="n">
        <f aca="false">-$C$26*C36+$C$16*(1+$C$17)^E36*(1-$C$7)*D36-$C$23*F36</f>
        <v>58096.2252742925</v>
      </c>
      <c r="I36" s="19" t="n">
        <f aca="false">H36-G36</f>
        <v>-6472.15266051322</v>
      </c>
      <c r="J36" s="19" t="n">
        <f aca="false">J35+I36</f>
        <v>-193286.807902573</v>
      </c>
      <c r="K36" s="18" t="n">
        <f aca="false">1/(1+$C$8)^A36</f>
        <v>0.676839362028687</v>
      </c>
      <c r="L36" s="19" t="n">
        <f aca="false">I36*K36*B36</f>
        <v>-4380.60767769403</v>
      </c>
      <c r="M36" s="20" t="n">
        <f aca="false">(1+$C$17)^E36*(1-$C$7)*D36*K36*B36</f>
        <v>0.617608930703075</v>
      </c>
      <c r="N36" s="17" t="n">
        <f aca="false">IF(AND(B36=1,J36&gt;=0),A36,999)</f>
        <v>999</v>
      </c>
    </row>
    <row r="37" customFormat="false" ht="15" hidden="false" customHeight="false" outlineLevel="0" collapsed="false">
      <c r="A37" s="17" t="n">
        <v>9</v>
      </c>
      <c r="B37" s="5" t="n">
        <f aca="false">IF(A37&lt;=$C$9,1,0)</f>
        <v>1</v>
      </c>
      <c r="C37" s="18" t="n">
        <f aca="false">MAX(0,MIN(1,$C$10-(A37-1)))</f>
        <v>0</v>
      </c>
      <c r="D37" s="18" t="n">
        <f aca="false">MAX(0,MIN(1,A37-$C$24))</f>
        <v>1</v>
      </c>
      <c r="E37" s="18" t="n">
        <f aca="false">MAX(0,A37-$C$25)</f>
        <v>6</v>
      </c>
      <c r="F37" s="18" t="n">
        <f aca="false">MAX(0,MIN(A37,$C$10+$C$20)-MAX(A37-1,$C$10))</f>
        <v>1</v>
      </c>
      <c r="G37" s="19" t="n">
        <f aca="false">$C$5*(1+$C$6)^(A37-1)*(1-$C$7)</f>
        <v>66505.4292728499</v>
      </c>
      <c r="H37" s="19" t="n">
        <f aca="false">-$C$26*C37+$C$16*(1+$C$17)^E37*(1-$C$7)*D37-$C$23*F37</f>
        <v>61016.1922400525</v>
      </c>
      <c r="I37" s="19" t="n">
        <f aca="false">H37-G37</f>
        <v>-5489.23703279737</v>
      </c>
      <c r="J37" s="19" t="n">
        <f aca="false">J36+I37</f>
        <v>-198776.044935371</v>
      </c>
      <c r="K37" s="18" t="n">
        <f aca="false">1/(1+$C$8)^A37</f>
        <v>0.644608916217797</v>
      </c>
      <c r="L37" s="19" t="n">
        <f aca="false">I37*K37*B37</f>
        <v>-3538.41113457411</v>
      </c>
      <c r="M37" s="20" t="n">
        <f aca="false">(1+$C$17)^E37*(1-$C$7)*D37*K37*B37</f>
        <v>0.611726940886855</v>
      </c>
      <c r="N37" s="17" t="n">
        <f aca="false">IF(AND(B37=1,J37&gt;=0),A37,999)</f>
        <v>999</v>
      </c>
    </row>
    <row r="38" customFormat="false" ht="15" hidden="false" customHeight="false" outlineLevel="0" collapsed="false">
      <c r="A38" s="17" t="n">
        <v>10</v>
      </c>
      <c r="B38" s="5" t="n">
        <f aca="false">IF(A38&lt;=$C$9,1,0)</f>
        <v>1</v>
      </c>
      <c r="C38" s="18" t="n">
        <f aca="false">MAX(0,MIN(1,$C$10-(A38-1)))</f>
        <v>0</v>
      </c>
      <c r="D38" s="18" t="n">
        <f aca="false">MAX(0,MIN(1,A38-$C$24))</f>
        <v>1</v>
      </c>
      <c r="E38" s="18" t="n">
        <f aca="false">MAX(0,A38-$C$25)</f>
        <v>7</v>
      </c>
      <c r="F38" s="18" t="n">
        <f aca="false">MAX(0,MIN(A38,$C$10+$C$20)-MAX(A38-1,$C$10))</f>
        <v>1</v>
      </c>
      <c r="G38" s="19" t="n">
        <f aca="false">$C$5*(1+$C$6)^(A38-1)*(1-$C$7)</f>
        <v>68500.5921510354</v>
      </c>
      <c r="H38" s="19" t="n">
        <f aca="false">-$C$26*C38+$C$16*(1+$C$17)^E38*(1-$C$7)*D38-$C$23*F38</f>
        <v>64052.9578844429</v>
      </c>
      <c r="I38" s="19" t="n">
        <f aca="false">H38-G38</f>
        <v>-4447.63426659247</v>
      </c>
      <c r="J38" s="19" t="n">
        <f aca="false">J37+I38</f>
        <v>-203223.679201963</v>
      </c>
      <c r="K38" s="18" t="n">
        <f aca="false">1/(1+$C$8)^A38</f>
        <v>0.613913253540759</v>
      </c>
      <c r="L38" s="19" t="n">
        <f aca="false">I38*K38*B38</f>
        <v>-2730.46162316315</v>
      </c>
      <c r="M38" s="20" t="n">
        <f aca="false">(1+$C$17)^E38*(1-$C$7)*D38*K38*B38</f>
        <v>0.605900970021266</v>
      </c>
      <c r="N38" s="17" t="n">
        <f aca="false">IF(AND(B38=1,J38&gt;=0),A38,999)</f>
        <v>999</v>
      </c>
    </row>
    <row r="39" customFormat="false" ht="15" hidden="false" customHeight="false" outlineLevel="0" collapsed="false">
      <c r="A39" s="17" t="n">
        <v>11</v>
      </c>
      <c r="B39" s="5" t="n">
        <f aca="false">IF(A39&lt;=$C$9,1,0)</f>
        <v>0</v>
      </c>
      <c r="C39" s="18" t="n">
        <f aca="false">MAX(0,MIN(1,$C$10-(A39-1)))</f>
        <v>0</v>
      </c>
      <c r="D39" s="18" t="n">
        <f aca="false">MAX(0,MIN(1,A39-$C$24))</f>
        <v>1</v>
      </c>
      <c r="E39" s="18" t="n">
        <f aca="false">MAX(0,A39-$C$25)</f>
        <v>8</v>
      </c>
      <c r="F39" s="18" t="n">
        <f aca="false">MAX(0,MIN(A39,$C$10+$C$20)-MAX(A39-1,$C$10))</f>
        <v>1</v>
      </c>
      <c r="G39" s="19" t="n">
        <f aca="false">$C$5*(1+$C$6)^(A39-1)*(1-$C$7)</f>
        <v>70555.6099155664</v>
      </c>
      <c r="H39" s="19" t="n">
        <f aca="false">-$C$26*C39+$C$16*(1+$C$17)^E39*(1-$C$7)*D39-$C$23*F39</f>
        <v>67211.1941546089</v>
      </c>
      <c r="I39" s="19" t="n">
        <f aca="false">H39-G39</f>
        <v>-3344.41576095751</v>
      </c>
      <c r="J39" s="19" t="n">
        <f aca="false">J38+I39</f>
        <v>-206568.094962921</v>
      </c>
      <c r="K39" s="18" t="n">
        <f aca="false">1/(1+$C$8)^A39</f>
        <v>0.584679289086437</v>
      </c>
      <c r="L39" s="19" t="n">
        <f aca="false">I39*K39*B39</f>
        <v>-0</v>
      </c>
      <c r="M39" s="20" t="n">
        <f aca="false">(1+$C$17)^E39*(1-$C$7)*D39*K39*B39</f>
        <v>0</v>
      </c>
      <c r="N39" s="17" t="n">
        <f aca="false">IF(AND(B39=1,J39&gt;=0),A39,999)</f>
        <v>999</v>
      </c>
    </row>
    <row r="40" customFormat="false" ht="15" hidden="false" customHeight="false" outlineLevel="0" collapsed="false">
      <c r="A40" s="17" t="n">
        <v>12</v>
      </c>
      <c r="B40" s="5" t="n">
        <f aca="false">IF(A40&lt;=$C$9,1,0)</f>
        <v>0</v>
      </c>
      <c r="C40" s="18" t="n">
        <f aca="false">MAX(0,MIN(1,$C$10-(A40-1)))</f>
        <v>0</v>
      </c>
      <c r="D40" s="18" t="n">
        <f aca="false">MAX(0,MIN(1,A40-$C$24))</f>
        <v>1</v>
      </c>
      <c r="E40" s="18" t="n">
        <f aca="false">MAX(0,A40-$C$25)</f>
        <v>9</v>
      </c>
      <c r="F40" s="18" t="n">
        <f aca="false">MAX(0,MIN(A40,$C$10+$C$20)-MAX(A40-1,$C$10))</f>
        <v>1</v>
      </c>
      <c r="G40" s="19" t="n">
        <f aca="false">$C$5*(1+$C$6)^(A40-1)*(1-$C$7)</f>
        <v>72672.2782130334</v>
      </c>
      <c r="H40" s="19" t="n">
        <f aca="false">-$C$26*C40+$C$16*(1+$C$17)^E40*(1-$C$7)*D40-$C$23*F40</f>
        <v>70495.7598755816</v>
      </c>
      <c r="I40" s="19" t="n">
        <f aca="false">H40-G40</f>
        <v>-2176.51833745185</v>
      </c>
      <c r="J40" s="19" t="n">
        <f aca="false">J39+I40</f>
        <v>-208744.613300373</v>
      </c>
      <c r="K40" s="18" t="n">
        <f aca="false">1/(1+$C$8)^A40</f>
        <v>0.556837418177559</v>
      </c>
      <c r="L40" s="19" t="n">
        <f aca="false">I40*K40*B40</f>
        <v>-0</v>
      </c>
      <c r="M40" s="20" t="n">
        <f aca="false">(1+$C$17)^E40*(1-$C$7)*D40*K40*B40</f>
        <v>0</v>
      </c>
      <c r="N40" s="17" t="n">
        <f aca="false">IF(AND(B40=1,J40&gt;=0),A40,999)</f>
        <v>999</v>
      </c>
    </row>
    <row r="41" customFormat="false" ht="15" hidden="false" customHeight="false" outlineLevel="0" collapsed="false">
      <c r="A41" s="17" t="n">
        <v>13</v>
      </c>
      <c r="B41" s="5" t="n">
        <f aca="false">IF(A41&lt;=$C$9,1,0)</f>
        <v>0</v>
      </c>
      <c r="C41" s="18" t="n">
        <f aca="false">MAX(0,MIN(1,$C$10-(A41-1)))</f>
        <v>0</v>
      </c>
      <c r="D41" s="18" t="n">
        <f aca="false">MAX(0,MIN(1,A41-$C$24))</f>
        <v>1</v>
      </c>
      <c r="E41" s="18" t="n">
        <f aca="false">MAX(0,A41-$C$25)</f>
        <v>10</v>
      </c>
      <c r="F41" s="18" t="n">
        <f aca="false">MAX(0,MIN(A41,$C$10+$C$20)-MAX(A41-1,$C$10))</f>
        <v>0</v>
      </c>
      <c r="G41" s="19" t="n">
        <f aca="false">$C$5*(1+$C$6)^(A41-1)*(1-$C$7)</f>
        <v>74852.4465594244</v>
      </c>
      <c r="H41" s="19" t="n">
        <f aca="false">-$C$26*C41+$C$16*(1+$C$17)^E41*(1-$C$7)*D41-$C$23*F41</f>
        <v>88814.6570951007</v>
      </c>
      <c r="I41" s="19" t="n">
        <f aca="false">H41-G41</f>
        <v>13962.2105356763</v>
      </c>
      <c r="J41" s="19" t="n">
        <f aca="false">J40+I41</f>
        <v>-194782.402764696</v>
      </c>
      <c r="K41" s="18" t="n">
        <f aca="false">1/(1+$C$8)^A41</f>
        <v>0.530321350645295</v>
      </c>
      <c r="L41" s="19" t="n">
        <f aca="false">I41*K41*B41</f>
        <v>0</v>
      </c>
      <c r="M41" s="20" t="n">
        <f aca="false">(1+$C$17)^E41*(1-$C$7)*D41*K41*B41</f>
        <v>0</v>
      </c>
      <c r="N41" s="17" t="n">
        <f aca="false">IF(AND(B41=1,J41&gt;=0),A41,999)</f>
        <v>999</v>
      </c>
    </row>
    <row r="42" customFormat="false" ht="15" hidden="false" customHeight="false" outlineLevel="0" collapsed="false">
      <c r="A42" s="17" t="n">
        <v>14</v>
      </c>
      <c r="B42" s="5" t="n">
        <f aca="false">IF(A42&lt;=$C$9,1,0)</f>
        <v>0</v>
      </c>
      <c r="C42" s="18" t="n">
        <f aca="false">MAX(0,MIN(1,$C$10-(A42-1)))</f>
        <v>0</v>
      </c>
      <c r="D42" s="18" t="n">
        <f aca="false">MAX(0,MIN(1,A42-$C$24))</f>
        <v>1</v>
      </c>
      <c r="E42" s="18" t="n">
        <f aca="false">MAX(0,A42-$C$25)</f>
        <v>11</v>
      </c>
      <c r="F42" s="18" t="n">
        <f aca="false">MAX(0,MIN(A42,$C$10+$C$20)-MAX(A42-1,$C$10))</f>
        <v>0</v>
      </c>
      <c r="G42" s="19" t="n">
        <f aca="false">$C$5*(1+$C$6)^(A42-1)*(1-$C$7)</f>
        <v>77098.0199562072</v>
      </c>
      <c r="H42" s="19" t="n">
        <f aca="false">-$C$26*C42+$C$16*(1+$C$17)^E42*(1-$C$7)*D42-$C$23*F42</f>
        <v>92367.2433789047</v>
      </c>
      <c r="I42" s="19" t="n">
        <f aca="false">H42-G42</f>
        <v>15269.2234226975</v>
      </c>
      <c r="J42" s="19" t="n">
        <f aca="false">J41+I42</f>
        <v>-179513.179341999</v>
      </c>
      <c r="K42" s="18" t="n">
        <f aca="false">1/(1+$C$8)^A42</f>
        <v>0.505067952995519</v>
      </c>
      <c r="L42" s="19" t="n">
        <f aca="false">I42*K42*B42</f>
        <v>0</v>
      </c>
      <c r="M42" s="20" t="n">
        <f aca="false">(1+$C$17)^E42*(1-$C$7)*D42*K42*B42</f>
        <v>0</v>
      </c>
      <c r="N42" s="17" t="n">
        <f aca="false">IF(AND(B42=1,J42&gt;=0),A42,999)</f>
        <v>999</v>
      </c>
    </row>
    <row r="43" customFormat="false" ht="15" hidden="false" customHeight="false" outlineLevel="0" collapsed="false">
      <c r="A43" s="17" t="n">
        <v>15</v>
      </c>
      <c r="B43" s="5" t="n">
        <f aca="false">IF(A43&lt;=$C$9,1,0)</f>
        <v>0</v>
      </c>
      <c r="C43" s="18" t="n">
        <f aca="false">MAX(0,MIN(1,$C$10-(A43-1)))</f>
        <v>0</v>
      </c>
      <c r="D43" s="18" t="n">
        <f aca="false">MAX(0,MIN(1,A43-$C$24))</f>
        <v>1</v>
      </c>
      <c r="E43" s="18" t="n">
        <f aca="false">MAX(0,A43-$C$25)</f>
        <v>12</v>
      </c>
      <c r="F43" s="18" t="n">
        <f aca="false">MAX(0,MIN(A43,$C$10+$C$20)-MAX(A43-1,$C$10))</f>
        <v>0</v>
      </c>
      <c r="G43" s="19" t="n">
        <f aca="false">$C$5*(1+$C$6)^(A43-1)*(1-$C$7)</f>
        <v>79410.9605548934</v>
      </c>
      <c r="H43" s="19" t="n">
        <f aca="false">-$C$26*C43+$C$16*(1+$C$17)^E43*(1-$C$7)*D43-$C$23*F43</f>
        <v>96061.9331140609</v>
      </c>
      <c r="I43" s="19" t="n">
        <f aca="false">H43-G43</f>
        <v>16650.9725591675</v>
      </c>
      <c r="J43" s="19" t="n">
        <f aca="false">J42+I43</f>
        <v>-162862.206782831</v>
      </c>
      <c r="K43" s="18" t="n">
        <f aca="false">1/(1+$C$8)^A43</f>
        <v>0.48101709809097</v>
      </c>
      <c r="L43" s="19" t="n">
        <f aca="false">I43*K43*B43</f>
        <v>0</v>
      </c>
      <c r="M43" s="20" t="n">
        <f aca="false">(1+$C$17)^E43*(1-$C$7)*D43*K43*B43</f>
        <v>0</v>
      </c>
      <c r="N43" s="17" t="n">
        <f aca="false">IF(AND(B43=1,J43&gt;=0),A43,999)</f>
        <v>999</v>
      </c>
    </row>
    <row r="44" customFormat="false" ht="15" hidden="false" customHeight="false" outlineLevel="0" collapsed="false">
      <c r="A44" s="17" t="n">
        <v>16</v>
      </c>
      <c r="B44" s="5" t="n">
        <f aca="false">IF(A44&lt;=$C$9,1,0)</f>
        <v>0</v>
      </c>
      <c r="C44" s="18" t="n">
        <f aca="false">MAX(0,MIN(1,$C$10-(A44-1)))</f>
        <v>0</v>
      </c>
      <c r="D44" s="18" t="n">
        <f aca="false">MAX(0,MIN(1,A44-$C$24))</f>
        <v>1</v>
      </c>
      <c r="E44" s="18" t="n">
        <f aca="false">MAX(0,A44-$C$25)</f>
        <v>13</v>
      </c>
      <c r="F44" s="18" t="n">
        <f aca="false">MAX(0,MIN(A44,$C$10+$C$20)-MAX(A44-1,$C$10))</f>
        <v>0</v>
      </c>
      <c r="G44" s="19" t="n">
        <f aca="false">$C$5*(1+$C$6)^(A44-1)*(1-$C$7)</f>
        <v>81793.2893715402</v>
      </c>
      <c r="H44" s="19" t="n">
        <f aca="false">-$C$26*C44+$C$16*(1+$C$17)^E44*(1-$C$7)*D44-$C$23*F44</f>
        <v>99904.4104386233</v>
      </c>
      <c r="I44" s="19" t="n">
        <f aca="false">H44-G44</f>
        <v>18111.1210670832</v>
      </c>
      <c r="J44" s="19" t="n">
        <f aca="false">J43+I44</f>
        <v>-144751.085715748</v>
      </c>
      <c r="K44" s="18" t="n">
        <f aca="false">1/(1+$C$8)^A44</f>
        <v>0.4581115219914</v>
      </c>
      <c r="L44" s="19" t="n">
        <f aca="false">I44*K44*B44</f>
        <v>0</v>
      </c>
      <c r="M44" s="20" t="n">
        <f aca="false">(1+$C$17)^E44*(1-$C$7)*D44*K44*B44</f>
        <v>0</v>
      </c>
      <c r="N44" s="17" t="n">
        <f aca="false">IF(AND(B44=1,J44&gt;=0),A44,999)</f>
        <v>999</v>
      </c>
    </row>
    <row r="45" customFormat="false" ht="15" hidden="false" customHeight="false" outlineLevel="0" collapsed="false">
      <c r="A45" s="17" t="n">
        <v>17</v>
      </c>
      <c r="B45" s="5" t="n">
        <f aca="false">IF(A45&lt;=$C$9,1,0)</f>
        <v>0</v>
      </c>
      <c r="C45" s="18" t="n">
        <f aca="false">MAX(0,MIN(1,$C$10-(A45-1)))</f>
        <v>0</v>
      </c>
      <c r="D45" s="18" t="n">
        <f aca="false">MAX(0,MIN(1,A45-$C$24))</f>
        <v>1</v>
      </c>
      <c r="E45" s="18" t="n">
        <f aca="false">MAX(0,A45-$C$25)</f>
        <v>14</v>
      </c>
      <c r="F45" s="18" t="n">
        <f aca="false">MAX(0,MIN(A45,$C$10+$C$20)-MAX(A45-1,$C$10))</f>
        <v>0</v>
      </c>
      <c r="G45" s="19" t="n">
        <f aca="false">$C$5*(1+$C$6)^(A45-1)*(1-$C$7)</f>
        <v>84247.0880526864</v>
      </c>
      <c r="H45" s="19" t="n">
        <f aca="false">-$C$26*C45+$C$16*(1+$C$17)^E45*(1-$C$7)*D45-$C$23*F45</f>
        <v>103900.586856168</v>
      </c>
      <c r="I45" s="19" t="n">
        <f aca="false">H45-G45</f>
        <v>19653.4988034819</v>
      </c>
      <c r="J45" s="19" t="n">
        <f aca="false">J44+I45</f>
        <v>-125097.586912266</v>
      </c>
      <c r="K45" s="18" t="n">
        <f aca="false">1/(1+$C$8)^A45</f>
        <v>0.436296687610857</v>
      </c>
      <c r="L45" s="19" t="n">
        <f aca="false">I45*K45*B45</f>
        <v>0</v>
      </c>
      <c r="M45" s="20" t="n">
        <f aca="false">(1+$C$17)^E45*(1-$C$7)*D45*K45*B45</f>
        <v>0</v>
      </c>
      <c r="N45" s="17" t="n">
        <f aca="false">IF(AND(B45=1,J45&gt;=0),A45,999)</f>
        <v>999</v>
      </c>
    </row>
    <row r="46" customFormat="false" ht="15" hidden="false" customHeight="false" outlineLevel="0" collapsed="false">
      <c r="A46" s="17" t="n">
        <v>18</v>
      </c>
      <c r="B46" s="5" t="n">
        <f aca="false">IF(A46&lt;=$C$9,1,0)</f>
        <v>0</v>
      </c>
      <c r="C46" s="18" t="n">
        <f aca="false">MAX(0,MIN(1,$C$10-(A46-1)))</f>
        <v>0</v>
      </c>
      <c r="D46" s="18" t="n">
        <f aca="false">MAX(0,MIN(1,A46-$C$24))</f>
        <v>1</v>
      </c>
      <c r="E46" s="18" t="n">
        <f aca="false">MAX(0,A46-$C$25)</f>
        <v>15</v>
      </c>
      <c r="F46" s="18" t="n">
        <f aca="false">MAX(0,MIN(A46,$C$10+$C$20)-MAX(A46-1,$C$10))</f>
        <v>0</v>
      </c>
      <c r="G46" s="19" t="n">
        <f aca="false">$C$5*(1+$C$6)^(A46-1)*(1-$C$7)</f>
        <v>86774.500694267</v>
      </c>
      <c r="H46" s="19" t="n">
        <f aca="false">-$C$26*C46+$C$16*(1+$C$17)^E46*(1-$C$7)*D46-$C$23*F46</f>
        <v>108056.610330415</v>
      </c>
      <c r="I46" s="19" t="n">
        <f aca="false">H46-G46</f>
        <v>21282.109636148</v>
      </c>
      <c r="J46" s="19" t="n">
        <f aca="false">J45+I46</f>
        <v>-103815.477276118</v>
      </c>
      <c r="K46" s="18" t="n">
        <f aca="false">1/(1+$C$8)^A46</f>
        <v>0.415520654867483</v>
      </c>
      <c r="L46" s="19" t="n">
        <f aca="false">I46*K46*B46</f>
        <v>0</v>
      </c>
      <c r="M46" s="20" t="n">
        <f aca="false">(1+$C$17)^E46*(1-$C$7)*D46*K46*B46</f>
        <v>0</v>
      </c>
      <c r="N46" s="17" t="n">
        <f aca="false">IF(AND(B46=1,J46&gt;=0),A46,999)</f>
        <v>999</v>
      </c>
    </row>
    <row r="47" customFormat="false" ht="15" hidden="false" customHeight="false" outlineLevel="0" collapsed="false">
      <c r="A47" s="17" t="n">
        <v>19</v>
      </c>
      <c r="B47" s="5" t="n">
        <f aca="false">IF(A47&lt;=$C$9,1,0)</f>
        <v>0</v>
      </c>
      <c r="C47" s="18" t="n">
        <f aca="false">MAX(0,MIN(1,$C$10-(A47-1)))</f>
        <v>0</v>
      </c>
      <c r="D47" s="18" t="n">
        <f aca="false">MAX(0,MIN(1,A47-$C$24))</f>
        <v>1</v>
      </c>
      <c r="E47" s="18" t="n">
        <f aca="false">MAX(0,A47-$C$25)</f>
        <v>16</v>
      </c>
      <c r="F47" s="18" t="n">
        <f aca="false">MAX(0,MIN(A47,$C$10+$C$20)-MAX(A47-1,$C$10))</f>
        <v>0</v>
      </c>
      <c r="G47" s="19" t="n">
        <f aca="false">$C$5*(1+$C$6)^(A47-1)*(1-$C$7)</f>
        <v>89377.735715095</v>
      </c>
      <c r="H47" s="19" t="n">
        <f aca="false">-$C$26*C47+$C$16*(1+$C$17)^E47*(1-$C$7)*D47-$C$23*F47</f>
        <v>112378.874743632</v>
      </c>
      <c r="I47" s="19" t="n">
        <f aca="false">H47-G47</f>
        <v>23001.1390285366</v>
      </c>
      <c r="J47" s="19" t="n">
        <f aca="false">J46+I47</f>
        <v>-80814.3382475816</v>
      </c>
      <c r="K47" s="18" t="n">
        <f aca="false">1/(1+$C$8)^A47</f>
        <v>0.39573395701665</v>
      </c>
      <c r="L47" s="19" t="n">
        <f aca="false">I47*K47*B47</f>
        <v>0</v>
      </c>
      <c r="M47" s="20" t="n">
        <f aca="false">(1+$C$17)^E47*(1-$C$7)*D47*K47*B47</f>
        <v>0</v>
      </c>
      <c r="N47" s="17" t="n">
        <f aca="false">IF(AND(B47=1,J47&gt;=0),A47,999)</f>
        <v>999</v>
      </c>
    </row>
    <row r="48" customFormat="false" ht="15" hidden="false" customHeight="false" outlineLevel="0" collapsed="false">
      <c r="A48" s="17" t="n">
        <v>20</v>
      </c>
      <c r="B48" s="5" t="n">
        <f aca="false">IF(A48&lt;=$C$9,1,0)</f>
        <v>0</v>
      </c>
      <c r="C48" s="18" t="n">
        <f aca="false">MAX(0,MIN(1,$C$10-(A48-1)))</f>
        <v>0</v>
      </c>
      <c r="D48" s="18" t="n">
        <f aca="false">MAX(0,MIN(1,A48-$C$24))</f>
        <v>1</v>
      </c>
      <c r="E48" s="18" t="n">
        <f aca="false">MAX(0,A48-$C$25)</f>
        <v>17</v>
      </c>
      <c r="F48" s="18" t="n">
        <f aca="false">MAX(0,MIN(A48,$C$10+$C$20)-MAX(A48-1,$C$10))</f>
        <v>0</v>
      </c>
      <c r="G48" s="19" t="n">
        <f aca="false">$C$5*(1+$C$6)^(A48-1)*(1-$C$7)</f>
        <v>92059.0677865478</v>
      </c>
      <c r="H48" s="19" t="n">
        <f aca="false">-$C$26*C48+$C$16*(1+$C$17)^E48*(1-$C$7)*D48-$C$23*F48</f>
        <v>116874.029733377</v>
      </c>
      <c r="I48" s="19" t="n">
        <f aca="false">H48-G48</f>
        <v>24814.961946829</v>
      </c>
      <c r="J48" s="19" t="n">
        <f aca="false">J47+I48</f>
        <v>-55999.3763007525</v>
      </c>
      <c r="K48" s="18" t="n">
        <f aca="false">1/(1+$C$8)^A48</f>
        <v>0.376889482873</v>
      </c>
      <c r="L48" s="19" t="n">
        <f aca="false">I48*K48*B48</f>
        <v>0</v>
      </c>
      <c r="M48" s="20" t="n">
        <f aca="false">(1+$C$17)^E48*(1-$C$7)*D48*K48*B48</f>
        <v>0</v>
      </c>
      <c r="N48" s="17" t="n">
        <f aca="false">IF(AND(B48=1,J48&gt;=0),A48,999)</f>
        <v>999</v>
      </c>
    </row>
    <row r="50" customFormat="false" ht="15" hidden="false" customHeight="false" outlineLevel="0" collapsed="false">
      <c r="A50" s="3" t="s">
        <v>92</v>
      </c>
    </row>
    <row r="51" customFormat="false" ht="15" hidden="false" customHeight="false" outlineLevel="0" collapsed="false">
      <c r="A51" s="0" t="s">
        <v>93</v>
      </c>
      <c r="C51" s="21" t="str">
        <f aca="false">IF(MIN(N29:N48)=999,"Not within horizon",MIN(N29:N48))</f>
        <v>Not within horizon</v>
      </c>
    </row>
    <row r="52" customFormat="false" ht="15" hidden="false" customHeight="false" outlineLevel="0" collapsed="false">
      <c r="A52" s="0" t="s">
        <v>94</v>
      </c>
      <c r="C52" s="22" t="n">
        <f aca="false">SUM(L29:L48)</f>
        <v>-177085.588430577</v>
      </c>
    </row>
    <row r="53" customFormat="false" ht="15" hidden="false" customHeight="false" outlineLevel="0" collapsed="false">
      <c r="A53" s="0" t="s">
        <v>95</v>
      </c>
      <c r="C53" s="23" t="n">
        <f aca="false">SUM(M29:M48)</f>
        <v>4.85154045241741</v>
      </c>
    </row>
    <row r="54" customFormat="false" ht="15" hidden="false" customHeight="false" outlineLevel="0" collapsed="false">
      <c r="A54" s="0" t="s">
        <v>96</v>
      </c>
      <c r="C54" s="22" t="n">
        <f aca="false">IF(C53=0,"n/a",($C$16*C53-C52)/C53)</f>
        <v>116500.899078836</v>
      </c>
    </row>
    <row r="55" customFormat="false" ht="15" hidden="false" customHeight="false" outlineLevel="0" collapsed="false">
      <c r="A55" s="0" t="s">
        <v>97</v>
      </c>
      <c r="C55" s="22" t="n">
        <f aca="false">IF(C53=0,"n/a",C52+(C54-$C$16)*C53)</f>
        <v>0</v>
      </c>
    </row>
    <row r="56" customFormat="false" ht="15" hidden="false" customHeight="false" outlineLevel="0" collapsed="false">
      <c r="A56" s="0" t="s">
        <v>98</v>
      </c>
      <c r="C56" s="22" t="n">
        <f aca="false">INDEX(J29:J48,$C$9)</f>
        <v>-203223.679201963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8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6.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8" t="s">
        <v>100</v>
      </c>
    </row>
    <row r="4" customFormat="false" ht="15" hidden="false" customHeight="false" outlineLevel="0" collapsed="false">
      <c r="A4" s="3" t="s">
        <v>35</v>
      </c>
      <c r="B4" s="3" t="s">
        <v>36</v>
      </c>
    </row>
    <row r="5" customFormat="false" ht="15" hidden="false" customHeight="false" outlineLevel="0" collapsed="false">
      <c r="A5" s="2" t="s">
        <v>37</v>
      </c>
      <c r="B5" s="2" t="s">
        <v>38</v>
      </c>
      <c r="C5" s="9" t="n">
        <v>65000</v>
      </c>
    </row>
    <row r="6" customFormat="false" ht="15" hidden="false" customHeight="false" outlineLevel="0" collapsed="false">
      <c r="A6" s="2" t="s">
        <v>39</v>
      </c>
      <c r="B6" s="2" t="s">
        <v>40</v>
      </c>
      <c r="C6" s="10" t="n">
        <v>0.03</v>
      </c>
    </row>
    <row r="7" customFormat="false" ht="15" hidden="false" customHeight="false" outlineLevel="0" collapsed="false">
      <c r="A7" s="2" t="s">
        <v>41</v>
      </c>
      <c r="B7" s="2" t="s">
        <v>42</v>
      </c>
      <c r="C7" s="10" t="n">
        <v>0.25</v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v>0.05</v>
      </c>
    </row>
    <row r="9" customFormat="false" ht="15" hidden="false" customHeight="false" outlineLevel="0" collapsed="false">
      <c r="A9" s="2" t="s">
        <v>45</v>
      </c>
      <c r="B9" s="2" t="s">
        <v>46</v>
      </c>
      <c r="C9" s="11" t="n">
        <v>10</v>
      </c>
    </row>
    <row r="10" customFormat="false" ht="15" hidden="false" customHeight="false" outlineLevel="0" collapsed="false">
      <c r="A10" s="2" t="s">
        <v>47</v>
      </c>
      <c r="B10" s="2" t="s">
        <v>48</v>
      </c>
      <c r="C10" s="12" t="n">
        <v>0.83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9" t="n">
        <v>40000</v>
      </c>
    </row>
    <row r="12" customFormat="false" ht="15" hidden="false" customHeight="false" outlineLevel="0" collapsed="false">
      <c r="A12" s="2" t="s">
        <v>51</v>
      </c>
      <c r="B12" s="2" t="s">
        <v>52</v>
      </c>
      <c r="C12" s="9" t="n">
        <v>5000</v>
      </c>
    </row>
    <row r="13" customFormat="false" ht="15" hidden="false" customHeight="false" outlineLevel="0" collapsed="false">
      <c r="A13" s="2" t="s">
        <v>53</v>
      </c>
      <c r="B13" s="2" t="s">
        <v>54</v>
      </c>
      <c r="C13" s="9" t="n"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9" t="n">
        <v>0</v>
      </c>
    </row>
    <row r="15" customFormat="false" ht="15" hidden="false" customHeight="false" outlineLevel="0" collapsed="false">
      <c r="A15" s="2" t="s">
        <v>57</v>
      </c>
      <c r="B15" s="2" t="s">
        <v>58</v>
      </c>
      <c r="C15" s="11" t="n">
        <v>3</v>
      </c>
    </row>
    <row r="16" customFormat="false" ht="15" hidden="false" customHeight="false" outlineLevel="0" collapsed="false">
      <c r="A16" s="2" t="s">
        <v>59</v>
      </c>
      <c r="B16" s="2" t="s">
        <v>60</v>
      </c>
      <c r="C16" s="9" t="n">
        <v>73268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10" t="n">
        <v>0.04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9" t="n">
        <v>35000</v>
      </c>
    </row>
    <row r="19" customFormat="false" ht="15" hidden="false" customHeight="false" outlineLevel="0" collapsed="false">
      <c r="A19" s="2" t="s">
        <v>65</v>
      </c>
      <c r="B19" s="2" t="s">
        <v>66</v>
      </c>
      <c r="C19" s="10" t="n">
        <v>0.08</v>
      </c>
    </row>
    <row r="20" customFormat="false" ht="15" hidden="false" customHeight="false" outlineLevel="0" collapsed="false">
      <c r="A20" s="2" t="s">
        <v>67</v>
      </c>
      <c r="B20" s="2" t="s">
        <v>68</v>
      </c>
      <c r="C20" s="11" t="n">
        <v>10</v>
      </c>
    </row>
    <row r="22" customFormat="false" ht="15" hidden="false" customHeight="false" outlineLevel="0" collapsed="false">
      <c r="A22" s="3" t="s">
        <v>69</v>
      </c>
    </row>
    <row r="23" customFormat="false" ht="15" hidden="false" customHeight="false" outlineLevel="0" collapsed="false">
      <c r="A23" s="0" t="s">
        <v>70</v>
      </c>
      <c r="B23" s="0" t="s">
        <v>71</v>
      </c>
      <c r="C23" s="13" t="n">
        <f aca="false">IF($C$18=0,0,$C$18*$C$19/(1-(1+$C$19)^(-$C$20)))</f>
        <v>5216.03210439764</v>
      </c>
    </row>
    <row r="24" customFormat="false" ht="15" hidden="false" customHeight="false" outlineLevel="0" collapsed="false">
      <c r="A24" s="0" t="s">
        <v>72</v>
      </c>
      <c r="B24" s="0" t="s">
        <v>73</v>
      </c>
      <c r="C24" s="14" t="n">
        <f aca="false">$C$10+$C$15/12</f>
        <v>1.08</v>
      </c>
    </row>
    <row r="25" customFormat="false" ht="15" hidden="false" customHeight="false" outlineLevel="0" collapsed="false">
      <c r="A25" s="0" t="s">
        <v>74</v>
      </c>
      <c r="B25" s="0" t="s">
        <v>75</v>
      </c>
      <c r="C25" s="15" t="n">
        <f aca="false">INT($C$24)+1</f>
        <v>2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13" t="n">
        <f aca="false">($C$11-$C$12-$C$18)/$C$10+$C$14-$C$13*(1-$C$7)</f>
        <v>0</v>
      </c>
    </row>
    <row r="28" customFormat="false" ht="42" hidden="false" customHeight="true" outlineLevel="0" collapsed="false">
      <c r="A28" s="16" t="s">
        <v>78</v>
      </c>
      <c r="B28" s="16" t="s">
        <v>79</v>
      </c>
      <c r="C28" s="16" t="s">
        <v>80</v>
      </c>
      <c r="D28" s="16" t="s">
        <v>81</v>
      </c>
      <c r="E28" s="16" t="s">
        <v>82</v>
      </c>
      <c r="F28" s="16" t="s">
        <v>83</v>
      </c>
      <c r="G28" s="16" t="s">
        <v>84</v>
      </c>
      <c r="H28" s="16" t="s">
        <v>85</v>
      </c>
      <c r="I28" s="16" t="s">
        <v>86</v>
      </c>
      <c r="J28" s="16" t="s">
        <v>87</v>
      </c>
      <c r="K28" s="16" t="s">
        <v>88</v>
      </c>
      <c r="L28" s="16" t="s">
        <v>89</v>
      </c>
      <c r="M28" s="16" t="s">
        <v>90</v>
      </c>
      <c r="N28" s="16" t="s">
        <v>91</v>
      </c>
    </row>
    <row r="29" customFormat="false" ht="15" hidden="false" customHeight="false" outlineLevel="0" collapsed="false">
      <c r="A29" s="17" t="n">
        <v>1</v>
      </c>
      <c r="B29" s="5" t="n">
        <f aca="false">IF(A29&lt;=$C$9,1,0)</f>
        <v>1</v>
      </c>
      <c r="C29" s="18" t="n">
        <f aca="false">MAX(0,MIN(1,$C$10-(A29-1)))</f>
        <v>0.83</v>
      </c>
      <c r="D29" s="18" t="n">
        <f aca="false">MAX(0,MIN(1,A29-$C$24))</f>
        <v>0</v>
      </c>
      <c r="E29" s="18" t="n">
        <f aca="false">MAX(0,A29-$C$25)</f>
        <v>0</v>
      </c>
      <c r="F29" s="18" t="n">
        <f aca="false">MAX(0,MIN(A29,$C$10+$C$20)-MAX(A29-1,$C$10))</f>
        <v>0.17</v>
      </c>
      <c r="G29" s="19" t="n">
        <f aca="false">$C$5*(1+$C$6)^(A29-1)*(1-$C$7)</f>
        <v>48750</v>
      </c>
      <c r="H29" s="19" t="n">
        <f aca="false">-$C$26*C29+$C$16*(1+$C$17)^E29*(1-$C$7)*D29-$C$23*F29</f>
        <v>-886.725457747599</v>
      </c>
      <c r="I29" s="19" t="n">
        <f aca="false">H29-G29</f>
        <v>-49636.7254577476</v>
      </c>
      <c r="J29" s="19" t="n">
        <f aca="false">I29</f>
        <v>-49636.7254577476</v>
      </c>
      <c r="K29" s="18" t="n">
        <f aca="false">1/(1+$C$8)^A29</f>
        <v>0.952380952380952</v>
      </c>
      <c r="L29" s="19" t="n">
        <f aca="false">I29*K29*B29</f>
        <v>-47273.0718645215</v>
      </c>
      <c r="M29" s="20" t="n">
        <f aca="false">(1+$C$17)^E29*(1-$C$7)*D29*K29*B29</f>
        <v>0</v>
      </c>
      <c r="N29" s="17" t="n">
        <f aca="false">IF(AND(B29=1,J29&gt;=0),A29,999)</f>
        <v>999</v>
      </c>
    </row>
    <row r="30" customFormat="false" ht="15" hidden="false" customHeight="false" outlineLevel="0" collapsed="false">
      <c r="A30" s="17" t="n">
        <v>2</v>
      </c>
      <c r="B30" s="5" t="n">
        <f aca="false">IF(A30&lt;=$C$9,1,0)</f>
        <v>1</v>
      </c>
      <c r="C30" s="18" t="n">
        <f aca="false">MAX(0,MIN(1,$C$10-(A30-1)))</f>
        <v>0</v>
      </c>
      <c r="D30" s="18" t="n">
        <f aca="false">MAX(0,MIN(1,A30-$C$24))</f>
        <v>0.92</v>
      </c>
      <c r="E30" s="18" t="n">
        <f aca="false">MAX(0,A30-$C$25)</f>
        <v>0</v>
      </c>
      <c r="F30" s="18" t="n">
        <f aca="false">MAX(0,MIN(A30,$C$10+$C$20)-MAX(A30-1,$C$10))</f>
        <v>1</v>
      </c>
      <c r="G30" s="19" t="n">
        <f aca="false">$C$5*(1+$C$6)^(A30-1)*(1-$C$7)</f>
        <v>50212.5</v>
      </c>
      <c r="H30" s="19" t="n">
        <f aca="false">-$C$26*C30+$C$16*(1+$C$17)^E30*(1-$C$7)*D30-$C$23*F30</f>
        <v>45338.8878956024</v>
      </c>
      <c r="I30" s="19" t="n">
        <f aca="false">H30-G30</f>
        <v>-4873.61210439764</v>
      </c>
      <c r="J30" s="19" t="n">
        <f aca="false">J29+I30</f>
        <v>-54510.3375621452</v>
      </c>
      <c r="K30" s="18" t="n">
        <f aca="false">1/(1+$C$8)^A30</f>
        <v>0.90702947845805</v>
      </c>
      <c r="L30" s="19" t="n">
        <f aca="false">I30*K30*B30</f>
        <v>-4420.50984525863</v>
      </c>
      <c r="M30" s="20" t="n">
        <f aca="false">(1+$C$17)^E30*(1-$C$7)*D30*K30*B30</f>
        <v>0.625850340136054</v>
      </c>
      <c r="N30" s="17" t="n">
        <f aca="false">IF(AND(B30=1,J30&gt;=0),A30,999)</f>
        <v>999</v>
      </c>
    </row>
    <row r="31" customFormat="false" ht="15" hidden="false" customHeight="false" outlineLevel="0" collapsed="false">
      <c r="A31" s="17" t="n">
        <v>3</v>
      </c>
      <c r="B31" s="5" t="n">
        <f aca="false">IF(A31&lt;=$C$9,1,0)</f>
        <v>1</v>
      </c>
      <c r="C31" s="18" t="n">
        <f aca="false">MAX(0,MIN(1,$C$10-(A31-1)))</f>
        <v>0</v>
      </c>
      <c r="D31" s="18" t="n">
        <f aca="false">MAX(0,MIN(1,A31-$C$24))</f>
        <v>1</v>
      </c>
      <c r="E31" s="18" t="n">
        <f aca="false">MAX(0,A31-$C$25)</f>
        <v>1</v>
      </c>
      <c r="F31" s="18" t="n">
        <f aca="false">MAX(0,MIN(A31,$C$10+$C$20)-MAX(A31-1,$C$10))</f>
        <v>1</v>
      </c>
      <c r="G31" s="19" t="n">
        <f aca="false">$C$5*(1+$C$6)^(A31-1)*(1-$C$7)</f>
        <v>51718.875</v>
      </c>
      <c r="H31" s="19" t="n">
        <f aca="false">-$C$26*C31+$C$16*(1+$C$17)^E31*(1-$C$7)*D31-$C$23*F31</f>
        <v>51933.0078956024</v>
      </c>
      <c r="I31" s="19" t="n">
        <f aca="false">H31-G31</f>
        <v>214.132895602364</v>
      </c>
      <c r="J31" s="19" t="n">
        <f aca="false">J30+I31</f>
        <v>-54296.2046665429</v>
      </c>
      <c r="K31" s="18" t="n">
        <f aca="false">1/(1+$C$8)^A31</f>
        <v>0.863837598531476</v>
      </c>
      <c r="L31" s="19" t="n">
        <f aca="false">I31*K31*B31</f>
        <v>184.976046303738</v>
      </c>
      <c r="M31" s="20" t="n">
        <f aca="false">(1+$C$17)^E31*(1-$C$7)*D31*K31*B31</f>
        <v>0.673793326854551</v>
      </c>
      <c r="N31" s="17" t="n">
        <f aca="false">IF(AND(B31=1,J31&gt;=0),A31,999)</f>
        <v>999</v>
      </c>
    </row>
    <row r="32" customFormat="false" ht="15" hidden="false" customHeight="false" outlineLevel="0" collapsed="false">
      <c r="A32" s="17" t="n">
        <v>4</v>
      </c>
      <c r="B32" s="5" t="n">
        <f aca="false">IF(A32&lt;=$C$9,1,0)</f>
        <v>1</v>
      </c>
      <c r="C32" s="18" t="n">
        <f aca="false">MAX(0,MIN(1,$C$10-(A32-1)))</f>
        <v>0</v>
      </c>
      <c r="D32" s="18" t="n">
        <f aca="false">MAX(0,MIN(1,A32-$C$24))</f>
        <v>1</v>
      </c>
      <c r="E32" s="18" t="n">
        <f aca="false">MAX(0,A32-$C$25)</f>
        <v>2</v>
      </c>
      <c r="F32" s="18" t="n">
        <f aca="false">MAX(0,MIN(A32,$C$10+$C$20)-MAX(A32-1,$C$10))</f>
        <v>1</v>
      </c>
      <c r="G32" s="19" t="n">
        <f aca="false">$C$5*(1+$C$6)^(A32-1)*(1-$C$7)</f>
        <v>53270.44125</v>
      </c>
      <c r="H32" s="19" t="n">
        <f aca="false">-$C$26*C32+$C$16*(1+$C$17)^E32*(1-$C$7)*D32-$C$23*F32</f>
        <v>54218.9694956024</v>
      </c>
      <c r="I32" s="19" t="n">
        <f aca="false">H32-G32</f>
        <v>948.528245602371</v>
      </c>
      <c r="J32" s="19" t="n">
        <f aca="false">J31+I32</f>
        <v>-53347.6764209405</v>
      </c>
      <c r="K32" s="18" t="n">
        <f aca="false">1/(1+$C$8)^A32</f>
        <v>0.822702474791882</v>
      </c>
      <c r="L32" s="19" t="n">
        <f aca="false">I32*K32*B32</f>
        <v>780.356535067072</v>
      </c>
      <c r="M32" s="20" t="n">
        <f aca="false">(1+$C$17)^E32*(1-$C$7)*D32*K32*B32</f>
        <v>0.667376247551175</v>
      </c>
      <c r="N32" s="17" t="n">
        <f aca="false">IF(AND(B32=1,J32&gt;=0),A32,999)</f>
        <v>999</v>
      </c>
    </row>
    <row r="33" customFormat="false" ht="15" hidden="false" customHeight="false" outlineLevel="0" collapsed="false">
      <c r="A33" s="17" t="n">
        <v>5</v>
      </c>
      <c r="B33" s="5" t="n">
        <f aca="false">IF(A33&lt;=$C$9,1,0)</f>
        <v>1</v>
      </c>
      <c r="C33" s="18" t="n">
        <f aca="false">MAX(0,MIN(1,$C$10-(A33-1)))</f>
        <v>0</v>
      </c>
      <c r="D33" s="18" t="n">
        <f aca="false">MAX(0,MIN(1,A33-$C$24))</f>
        <v>1</v>
      </c>
      <c r="E33" s="18" t="n">
        <f aca="false">MAX(0,A33-$C$25)</f>
        <v>3</v>
      </c>
      <c r="F33" s="18" t="n">
        <f aca="false">MAX(0,MIN(A33,$C$10+$C$20)-MAX(A33-1,$C$10))</f>
        <v>1</v>
      </c>
      <c r="G33" s="19" t="n">
        <f aca="false">$C$5*(1+$C$6)^(A33-1)*(1-$C$7)</f>
        <v>54868.5544875</v>
      </c>
      <c r="H33" s="19" t="n">
        <f aca="false">-$C$26*C33+$C$16*(1+$C$17)^E33*(1-$C$7)*D33-$C$23*F33</f>
        <v>56596.3695596024</v>
      </c>
      <c r="I33" s="19" t="n">
        <f aca="false">H33-G33</f>
        <v>1727.81507210236</v>
      </c>
      <c r="J33" s="19" t="n">
        <f aca="false">J32+I33</f>
        <v>-51619.8613488381</v>
      </c>
      <c r="K33" s="18" t="n">
        <f aca="false">1/(1+$C$8)^A33</f>
        <v>0.783526166468459</v>
      </c>
      <c r="L33" s="19" t="n">
        <f aca="false">I33*K33*B33</f>
        <v>1353.78831981079</v>
      </c>
      <c r="M33" s="20" t="n">
        <f aca="false">(1+$C$17)^E33*(1-$C$7)*D33*K33*B33</f>
        <v>0.661020283288782</v>
      </c>
      <c r="N33" s="17" t="n">
        <f aca="false">IF(AND(B33=1,J33&gt;=0),A33,999)</f>
        <v>999</v>
      </c>
    </row>
    <row r="34" customFormat="false" ht="15" hidden="false" customHeight="false" outlineLevel="0" collapsed="false">
      <c r="A34" s="17" t="n">
        <v>6</v>
      </c>
      <c r="B34" s="5" t="n">
        <f aca="false">IF(A34&lt;=$C$9,1,0)</f>
        <v>1</v>
      </c>
      <c r="C34" s="18" t="n">
        <f aca="false">MAX(0,MIN(1,$C$10-(A34-1)))</f>
        <v>0</v>
      </c>
      <c r="D34" s="18" t="n">
        <f aca="false">MAX(0,MIN(1,A34-$C$24))</f>
        <v>1</v>
      </c>
      <c r="E34" s="18" t="n">
        <f aca="false">MAX(0,A34-$C$25)</f>
        <v>4</v>
      </c>
      <c r="F34" s="18" t="n">
        <f aca="false">MAX(0,MIN(A34,$C$10+$C$20)-MAX(A34-1,$C$10))</f>
        <v>1</v>
      </c>
      <c r="G34" s="19" t="n">
        <f aca="false">$C$5*(1+$C$6)^(A34-1)*(1-$C$7)</f>
        <v>56514.611122125</v>
      </c>
      <c r="H34" s="19" t="n">
        <f aca="false">-$C$26*C34+$C$16*(1+$C$17)^E34*(1-$C$7)*D34-$C$23*F34</f>
        <v>59068.8656261624</v>
      </c>
      <c r="I34" s="19" t="n">
        <f aca="false">H34-G34</f>
        <v>2554.25450403737</v>
      </c>
      <c r="J34" s="19" t="n">
        <f aca="false">J33+I34</f>
        <v>-49065.6068448008</v>
      </c>
      <c r="K34" s="18" t="n">
        <f aca="false">1/(1+$C$8)^A34</f>
        <v>0.746215396636627</v>
      </c>
      <c r="L34" s="19" t="n">
        <f aca="false">I34*K34*B34</f>
        <v>1906.02403784114</v>
      </c>
      <c r="M34" s="20" t="n">
        <f aca="false">(1+$C$17)^E34*(1-$C$7)*D34*K34*B34</f>
        <v>0.654724852019366</v>
      </c>
      <c r="N34" s="17" t="n">
        <f aca="false">IF(AND(B34=1,J34&gt;=0),A34,999)</f>
        <v>999</v>
      </c>
    </row>
    <row r="35" customFormat="false" ht="15" hidden="false" customHeight="false" outlineLevel="0" collapsed="false">
      <c r="A35" s="17" t="n">
        <v>7</v>
      </c>
      <c r="B35" s="5" t="n">
        <f aca="false">IF(A35&lt;=$C$9,1,0)</f>
        <v>1</v>
      </c>
      <c r="C35" s="18" t="n">
        <f aca="false">MAX(0,MIN(1,$C$10-(A35-1)))</f>
        <v>0</v>
      </c>
      <c r="D35" s="18" t="n">
        <f aca="false">MAX(0,MIN(1,A35-$C$24))</f>
        <v>1</v>
      </c>
      <c r="E35" s="18" t="n">
        <f aca="false">MAX(0,A35-$C$25)</f>
        <v>5</v>
      </c>
      <c r="F35" s="18" t="n">
        <f aca="false">MAX(0,MIN(A35,$C$10+$C$20)-MAX(A35-1,$C$10))</f>
        <v>1</v>
      </c>
      <c r="G35" s="19" t="n">
        <f aca="false">$C$5*(1+$C$6)^(A35-1)*(1-$C$7)</f>
        <v>58210.0494557888</v>
      </c>
      <c r="H35" s="19" t="n">
        <f aca="false">-$C$26*C35+$C$16*(1+$C$17)^E35*(1-$C$7)*D35-$C$23*F35</f>
        <v>61640.2615353848</v>
      </c>
      <c r="I35" s="19" t="n">
        <f aca="false">H35-G35</f>
        <v>3430.21207959601</v>
      </c>
      <c r="J35" s="19" t="n">
        <f aca="false">J34+I35</f>
        <v>-45635.3947652048</v>
      </c>
      <c r="K35" s="18" t="n">
        <f aca="false">1/(1+$C$8)^A35</f>
        <v>0.710681330130121</v>
      </c>
      <c r="L35" s="19" t="n">
        <f aca="false">I35*K35*B35</f>
        <v>2437.78768335571</v>
      </c>
      <c r="M35" s="20" t="n">
        <f aca="false">(1+$C$17)^E35*(1-$C$7)*D35*K35*B35</f>
        <v>0.648489377238229</v>
      </c>
      <c r="N35" s="17" t="n">
        <f aca="false">IF(AND(B35=1,J35&gt;=0),A35,999)</f>
        <v>999</v>
      </c>
    </row>
    <row r="36" customFormat="false" ht="15" hidden="false" customHeight="false" outlineLevel="0" collapsed="false">
      <c r="A36" s="17" t="n">
        <v>8</v>
      </c>
      <c r="B36" s="5" t="n">
        <f aca="false">IF(A36&lt;=$C$9,1,0)</f>
        <v>1</v>
      </c>
      <c r="C36" s="18" t="n">
        <f aca="false">MAX(0,MIN(1,$C$10-(A36-1)))</f>
        <v>0</v>
      </c>
      <c r="D36" s="18" t="n">
        <f aca="false">MAX(0,MIN(1,A36-$C$24))</f>
        <v>1</v>
      </c>
      <c r="E36" s="18" t="n">
        <f aca="false">MAX(0,A36-$C$25)</f>
        <v>6</v>
      </c>
      <c r="F36" s="18" t="n">
        <f aca="false">MAX(0,MIN(A36,$C$10+$C$20)-MAX(A36-1,$C$10))</f>
        <v>1</v>
      </c>
      <c r="G36" s="19" t="n">
        <f aca="false">$C$5*(1+$C$6)^(A36-1)*(1-$C$7)</f>
        <v>59956.3509394624</v>
      </c>
      <c r="H36" s="19" t="n">
        <f aca="false">-$C$26*C36+$C$16*(1+$C$17)^E36*(1-$C$7)*D36-$C$23*F36</f>
        <v>64314.5132809761</v>
      </c>
      <c r="I36" s="19" t="n">
        <f aca="false">H36-G36</f>
        <v>4358.16234151366</v>
      </c>
      <c r="J36" s="19" t="n">
        <f aca="false">J35+I36</f>
        <v>-41277.2324236911</v>
      </c>
      <c r="K36" s="18" t="n">
        <f aca="false">1/(1+$C$8)^A36</f>
        <v>0.676839362028687</v>
      </c>
      <c r="L36" s="19" t="n">
        <f aca="false">I36*K36*B36</f>
        <v>2949.77581884756</v>
      </c>
      <c r="M36" s="20" t="n">
        <f aca="false">(1+$C$17)^E36*(1-$C$7)*D36*K36*B36</f>
        <v>0.642313287931198</v>
      </c>
      <c r="N36" s="17" t="n">
        <f aca="false">IF(AND(B36=1,J36&gt;=0),A36,999)</f>
        <v>999</v>
      </c>
    </row>
    <row r="37" customFormat="false" ht="15" hidden="false" customHeight="false" outlineLevel="0" collapsed="false">
      <c r="A37" s="17" t="n">
        <v>9</v>
      </c>
      <c r="B37" s="5" t="n">
        <f aca="false">IF(A37&lt;=$C$9,1,0)</f>
        <v>1</v>
      </c>
      <c r="C37" s="18" t="n">
        <f aca="false">MAX(0,MIN(1,$C$10-(A37-1)))</f>
        <v>0</v>
      </c>
      <c r="D37" s="18" t="n">
        <f aca="false">MAX(0,MIN(1,A37-$C$24))</f>
        <v>1</v>
      </c>
      <c r="E37" s="18" t="n">
        <f aca="false">MAX(0,A37-$C$25)</f>
        <v>7</v>
      </c>
      <c r="F37" s="18" t="n">
        <f aca="false">MAX(0,MIN(A37,$C$10+$C$20)-MAX(A37-1,$C$10))</f>
        <v>1</v>
      </c>
      <c r="G37" s="19" t="n">
        <f aca="false">$C$5*(1+$C$6)^(A37-1)*(1-$C$7)</f>
        <v>61755.0414676463</v>
      </c>
      <c r="H37" s="19" t="n">
        <f aca="false">-$C$26*C37+$C$16*(1+$C$17)^E37*(1-$C$7)*D37-$C$23*F37</f>
        <v>67095.735096391</v>
      </c>
      <c r="I37" s="19" t="n">
        <f aca="false">H37-G37</f>
        <v>5340.69362874472</v>
      </c>
      <c r="J37" s="19" t="n">
        <f aca="false">J36+I37</f>
        <v>-35936.5387949464</v>
      </c>
      <c r="K37" s="18" t="n">
        <f aca="false">1/(1+$C$8)^A37</f>
        <v>0.644608916217797</v>
      </c>
      <c r="L37" s="19" t="n">
        <f aca="false">I37*K37*B37</f>
        <v>3442.65873187643</v>
      </c>
      <c r="M37" s="20" t="n">
        <f aca="false">(1+$C$17)^E37*(1-$C$7)*D37*K37*B37</f>
        <v>0.636196018522329</v>
      </c>
      <c r="N37" s="17" t="n">
        <f aca="false">IF(AND(B37=1,J37&gt;=0),A37,999)</f>
        <v>999</v>
      </c>
    </row>
    <row r="38" customFormat="false" ht="15" hidden="false" customHeight="false" outlineLevel="0" collapsed="false">
      <c r="A38" s="17" t="n">
        <v>10</v>
      </c>
      <c r="B38" s="5" t="n">
        <f aca="false">IF(A38&lt;=$C$9,1,0)</f>
        <v>1</v>
      </c>
      <c r="C38" s="18" t="n">
        <f aca="false">MAX(0,MIN(1,$C$10-(A38-1)))</f>
        <v>0</v>
      </c>
      <c r="D38" s="18" t="n">
        <f aca="false">MAX(0,MIN(1,A38-$C$24))</f>
        <v>1</v>
      </c>
      <c r="E38" s="18" t="n">
        <f aca="false">MAX(0,A38-$C$25)</f>
        <v>8</v>
      </c>
      <c r="F38" s="18" t="n">
        <f aca="false">MAX(0,MIN(A38,$C$10+$C$20)-MAX(A38-1,$C$10))</f>
        <v>1</v>
      </c>
      <c r="G38" s="19" t="n">
        <f aca="false">$C$5*(1+$C$6)^(A38-1)*(1-$C$7)</f>
        <v>63607.6927116757</v>
      </c>
      <c r="H38" s="19" t="n">
        <f aca="false">-$C$26*C38+$C$16*(1+$C$17)^E38*(1-$C$7)*D38-$C$23*F38</f>
        <v>69988.2057844226</v>
      </c>
      <c r="I38" s="19" t="n">
        <f aca="false">H38-G38</f>
        <v>6380.51307274688</v>
      </c>
      <c r="J38" s="19" t="n">
        <f aca="false">J37+I38</f>
        <v>-29556.0257221995</v>
      </c>
      <c r="K38" s="18" t="n">
        <f aca="false">1/(1+$C$8)^A38</f>
        <v>0.613913253540759</v>
      </c>
      <c r="L38" s="19" t="n">
        <f aca="false">I38*K38*B38</f>
        <v>3917.08153974938</v>
      </c>
      <c r="M38" s="20" t="n">
        <f aca="false">(1+$C$17)^E38*(1-$C$7)*D38*K38*B38</f>
        <v>0.630137008822117</v>
      </c>
      <c r="N38" s="17" t="n">
        <f aca="false">IF(AND(B38=1,J38&gt;=0),A38,999)</f>
        <v>999</v>
      </c>
    </row>
    <row r="39" customFormat="false" ht="15" hidden="false" customHeight="false" outlineLevel="0" collapsed="false">
      <c r="A39" s="17" t="n">
        <v>11</v>
      </c>
      <c r="B39" s="5" t="n">
        <f aca="false">IF(A39&lt;=$C$9,1,0)</f>
        <v>0</v>
      </c>
      <c r="C39" s="18" t="n">
        <f aca="false">MAX(0,MIN(1,$C$10-(A39-1)))</f>
        <v>0</v>
      </c>
      <c r="D39" s="18" t="n">
        <f aca="false">MAX(0,MIN(1,A39-$C$24))</f>
        <v>1</v>
      </c>
      <c r="E39" s="18" t="n">
        <f aca="false">MAX(0,A39-$C$25)</f>
        <v>9</v>
      </c>
      <c r="F39" s="18" t="n">
        <f aca="false">MAX(0,MIN(A39,$C$10+$C$20)-MAX(A39-1,$C$10))</f>
        <v>0.83</v>
      </c>
      <c r="G39" s="19" t="n">
        <f aca="false">$C$5*(1+$C$6)^(A39-1)*(1-$C$7)</f>
        <v>65515.923493026</v>
      </c>
      <c r="H39" s="19" t="n">
        <f aca="false">-$C$26*C39+$C$16*(1+$C$17)^E39*(1-$C$7)*D39-$C$23*F39</f>
        <v>73883.100757723</v>
      </c>
      <c r="I39" s="19" t="n">
        <f aca="false">H39-G39</f>
        <v>8367.17726469702</v>
      </c>
      <c r="J39" s="19" t="n">
        <f aca="false">J38+I39</f>
        <v>-21188.8484575025</v>
      </c>
      <c r="K39" s="18" t="n">
        <f aca="false">1/(1+$C$8)^A39</f>
        <v>0.584679289086437</v>
      </c>
      <c r="L39" s="19" t="n">
        <f aca="false">I39*K39*B39</f>
        <v>0</v>
      </c>
      <c r="M39" s="20" t="n">
        <f aca="false">(1+$C$17)^E39*(1-$C$7)*D39*K39*B39</f>
        <v>0</v>
      </c>
      <c r="N39" s="17" t="n">
        <f aca="false">IF(AND(B39=1,J39&gt;=0),A39,999)</f>
        <v>999</v>
      </c>
    </row>
    <row r="40" customFormat="false" ht="15" hidden="false" customHeight="false" outlineLevel="0" collapsed="false">
      <c r="A40" s="17" t="n">
        <v>12</v>
      </c>
      <c r="B40" s="5" t="n">
        <f aca="false">IF(A40&lt;=$C$9,1,0)</f>
        <v>0</v>
      </c>
      <c r="C40" s="18" t="n">
        <f aca="false">MAX(0,MIN(1,$C$10-(A40-1)))</f>
        <v>0</v>
      </c>
      <c r="D40" s="18" t="n">
        <f aca="false">MAX(0,MIN(1,A40-$C$24))</f>
        <v>1</v>
      </c>
      <c r="E40" s="18" t="n">
        <f aca="false">MAX(0,A40-$C$25)</f>
        <v>10</v>
      </c>
      <c r="F40" s="18" t="n">
        <f aca="false">MAX(0,MIN(A40,$C$10+$C$20)-MAX(A40-1,$C$10))</f>
        <v>0</v>
      </c>
      <c r="G40" s="19" t="n">
        <f aca="false">$C$5*(1+$C$6)^(A40-1)*(1-$C$7)</f>
        <v>67481.4011978167</v>
      </c>
      <c r="H40" s="19" t="n">
        <f aca="false">-$C$26*C40+$C$16*(1+$C$17)^E40*(1-$C$7)*D40-$C$23*F40</f>
        <v>81340.9037005479</v>
      </c>
      <c r="I40" s="19" t="n">
        <f aca="false">H40-G40</f>
        <v>13859.5025027312</v>
      </c>
      <c r="J40" s="19" t="n">
        <f aca="false">J39+I40</f>
        <v>-7329.34595477128</v>
      </c>
      <c r="K40" s="18" t="n">
        <f aca="false">1/(1+$C$8)^A40</f>
        <v>0.556837418177559</v>
      </c>
      <c r="L40" s="19" t="n">
        <f aca="false">I40*K40*B40</f>
        <v>0</v>
      </c>
      <c r="M40" s="20" t="n">
        <f aca="false">(1+$C$17)^E40*(1-$C$7)*D40*K40*B40</f>
        <v>0</v>
      </c>
      <c r="N40" s="17" t="n">
        <f aca="false">IF(AND(B40=1,J40&gt;=0),A40,999)</f>
        <v>999</v>
      </c>
    </row>
    <row r="41" customFormat="false" ht="15" hidden="false" customHeight="false" outlineLevel="0" collapsed="false">
      <c r="A41" s="17" t="n">
        <v>13</v>
      </c>
      <c r="B41" s="5" t="n">
        <f aca="false">IF(A41&lt;=$C$9,1,0)</f>
        <v>0</v>
      </c>
      <c r="C41" s="18" t="n">
        <f aca="false">MAX(0,MIN(1,$C$10-(A41-1)))</f>
        <v>0</v>
      </c>
      <c r="D41" s="18" t="n">
        <f aca="false">MAX(0,MIN(1,A41-$C$24))</f>
        <v>1</v>
      </c>
      <c r="E41" s="18" t="n">
        <f aca="false">MAX(0,A41-$C$25)</f>
        <v>11</v>
      </c>
      <c r="F41" s="18" t="n">
        <f aca="false">MAX(0,MIN(A41,$C$10+$C$20)-MAX(A41-1,$C$10))</f>
        <v>0</v>
      </c>
      <c r="G41" s="19" t="n">
        <f aca="false">$C$5*(1+$C$6)^(A41-1)*(1-$C$7)</f>
        <v>69505.8432337513</v>
      </c>
      <c r="H41" s="19" t="n">
        <f aca="false">-$C$26*C41+$C$16*(1+$C$17)^E41*(1-$C$7)*D41-$C$23*F41</f>
        <v>84594.5398485699</v>
      </c>
      <c r="I41" s="19" t="n">
        <f aca="false">H41-G41</f>
        <v>15088.6966148186</v>
      </c>
      <c r="J41" s="19" t="n">
        <f aca="false">J40+I41</f>
        <v>7759.35066004734</v>
      </c>
      <c r="K41" s="18" t="n">
        <f aca="false">1/(1+$C$8)^A41</f>
        <v>0.530321350645295</v>
      </c>
      <c r="L41" s="19" t="n">
        <f aca="false">I41*K41*B41</f>
        <v>0</v>
      </c>
      <c r="M41" s="20" t="n">
        <f aca="false">(1+$C$17)^E41*(1-$C$7)*D41*K41*B41</f>
        <v>0</v>
      </c>
      <c r="N41" s="17" t="n">
        <f aca="false">IF(AND(B41=1,J41&gt;=0),A41,999)</f>
        <v>999</v>
      </c>
    </row>
    <row r="42" customFormat="false" ht="15" hidden="false" customHeight="false" outlineLevel="0" collapsed="false">
      <c r="A42" s="17" t="n">
        <v>14</v>
      </c>
      <c r="B42" s="5" t="n">
        <f aca="false">IF(A42&lt;=$C$9,1,0)</f>
        <v>0</v>
      </c>
      <c r="C42" s="18" t="n">
        <f aca="false">MAX(0,MIN(1,$C$10-(A42-1)))</f>
        <v>0</v>
      </c>
      <c r="D42" s="18" t="n">
        <f aca="false">MAX(0,MIN(1,A42-$C$24))</f>
        <v>1</v>
      </c>
      <c r="E42" s="18" t="n">
        <f aca="false">MAX(0,A42-$C$25)</f>
        <v>12</v>
      </c>
      <c r="F42" s="18" t="n">
        <f aca="false">MAX(0,MIN(A42,$C$10+$C$20)-MAX(A42-1,$C$10))</f>
        <v>0</v>
      </c>
      <c r="G42" s="19" t="n">
        <f aca="false">$C$5*(1+$C$6)^(A42-1)*(1-$C$7)</f>
        <v>71591.0185307638</v>
      </c>
      <c r="H42" s="19" t="n">
        <f aca="false">-$C$26*C42+$C$16*(1+$C$17)^E42*(1-$C$7)*D42-$C$23*F42</f>
        <v>87978.3214425127</v>
      </c>
      <c r="I42" s="19" t="n">
        <f aca="false">H42-G42</f>
        <v>16387.3029117489</v>
      </c>
      <c r="J42" s="19" t="n">
        <f aca="false">J41+I42</f>
        <v>24146.6535717962</v>
      </c>
      <c r="K42" s="18" t="n">
        <f aca="false">1/(1+$C$8)^A42</f>
        <v>0.505067952995519</v>
      </c>
      <c r="L42" s="19" t="n">
        <f aca="false">I42*K42*B42</f>
        <v>0</v>
      </c>
      <c r="M42" s="20" t="n">
        <f aca="false">(1+$C$17)^E42*(1-$C$7)*D42*K42*B42</f>
        <v>0</v>
      </c>
      <c r="N42" s="17" t="n">
        <f aca="false">IF(AND(B42=1,J42&gt;=0),A42,999)</f>
        <v>999</v>
      </c>
    </row>
    <row r="43" customFormat="false" ht="15" hidden="false" customHeight="false" outlineLevel="0" collapsed="false">
      <c r="A43" s="17" t="n">
        <v>15</v>
      </c>
      <c r="B43" s="5" t="n">
        <f aca="false">IF(A43&lt;=$C$9,1,0)</f>
        <v>0</v>
      </c>
      <c r="C43" s="18" t="n">
        <f aca="false">MAX(0,MIN(1,$C$10-(A43-1)))</f>
        <v>0</v>
      </c>
      <c r="D43" s="18" t="n">
        <f aca="false">MAX(0,MIN(1,A43-$C$24))</f>
        <v>1</v>
      </c>
      <c r="E43" s="18" t="n">
        <f aca="false">MAX(0,A43-$C$25)</f>
        <v>13</v>
      </c>
      <c r="F43" s="18" t="n">
        <f aca="false">MAX(0,MIN(A43,$C$10+$C$20)-MAX(A43-1,$C$10))</f>
        <v>0</v>
      </c>
      <c r="G43" s="19" t="n">
        <f aca="false">$C$5*(1+$C$6)^(A43-1)*(1-$C$7)</f>
        <v>73738.7490866867</v>
      </c>
      <c r="H43" s="19" t="n">
        <f aca="false">-$C$26*C43+$C$16*(1+$C$17)^E43*(1-$C$7)*D43-$C$23*F43</f>
        <v>91497.4543002132</v>
      </c>
      <c r="I43" s="19" t="n">
        <f aca="false">H43-G43</f>
        <v>17758.7052135265</v>
      </c>
      <c r="J43" s="19" t="n">
        <f aca="false">J42+I43</f>
        <v>41905.3587853227</v>
      </c>
      <c r="K43" s="18" t="n">
        <f aca="false">1/(1+$C$8)^A43</f>
        <v>0.48101709809097</v>
      </c>
      <c r="L43" s="19" t="n">
        <f aca="false">I43*K43*B43</f>
        <v>0</v>
      </c>
      <c r="M43" s="20" t="n">
        <f aca="false">(1+$C$17)^E43*(1-$C$7)*D43*K43*B43</f>
        <v>0</v>
      </c>
      <c r="N43" s="17" t="n">
        <f aca="false">IF(AND(B43=1,J43&gt;=0),A43,999)</f>
        <v>999</v>
      </c>
    </row>
    <row r="44" customFormat="false" ht="15" hidden="false" customHeight="false" outlineLevel="0" collapsed="false">
      <c r="A44" s="17" t="n">
        <v>16</v>
      </c>
      <c r="B44" s="5" t="n">
        <f aca="false">IF(A44&lt;=$C$9,1,0)</f>
        <v>0</v>
      </c>
      <c r="C44" s="18" t="n">
        <f aca="false">MAX(0,MIN(1,$C$10-(A44-1)))</f>
        <v>0</v>
      </c>
      <c r="D44" s="18" t="n">
        <f aca="false">MAX(0,MIN(1,A44-$C$24))</f>
        <v>1</v>
      </c>
      <c r="E44" s="18" t="n">
        <f aca="false">MAX(0,A44-$C$25)</f>
        <v>14</v>
      </c>
      <c r="F44" s="18" t="n">
        <f aca="false">MAX(0,MIN(A44,$C$10+$C$20)-MAX(A44-1,$C$10))</f>
        <v>0</v>
      </c>
      <c r="G44" s="19" t="n">
        <f aca="false">$C$5*(1+$C$6)^(A44-1)*(1-$C$7)</f>
        <v>75950.9115592873</v>
      </c>
      <c r="H44" s="19" t="n">
        <f aca="false">-$C$26*C44+$C$16*(1+$C$17)^E44*(1-$C$7)*D44-$C$23*F44</f>
        <v>95157.3524722217</v>
      </c>
      <c r="I44" s="19" t="n">
        <f aca="false">H44-G44</f>
        <v>19206.4409129344</v>
      </c>
      <c r="J44" s="19" t="n">
        <f aca="false">J43+I44</f>
        <v>61111.7996982571</v>
      </c>
      <c r="K44" s="18" t="n">
        <f aca="false">1/(1+$C$8)^A44</f>
        <v>0.4581115219914</v>
      </c>
      <c r="L44" s="19" t="n">
        <f aca="false">I44*K44*B44</f>
        <v>0</v>
      </c>
      <c r="M44" s="20" t="n">
        <f aca="false">(1+$C$17)^E44*(1-$C$7)*D44*K44*B44</f>
        <v>0</v>
      </c>
      <c r="N44" s="17" t="n">
        <f aca="false">IF(AND(B44=1,J44&gt;=0),A44,999)</f>
        <v>999</v>
      </c>
    </row>
    <row r="45" customFormat="false" ht="15" hidden="false" customHeight="false" outlineLevel="0" collapsed="false">
      <c r="A45" s="17" t="n">
        <v>17</v>
      </c>
      <c r="B45" s="5" t="n">
        <f aca="false">IF(A45&lt;=$C$9,1,0)</f>
        <v>0</v>
      </c>
      <c r="C45" s="18" t="n">
        <f aca="false">MAX(0,MIN(1,$C$10-(A45-1)))</f>
        <v>0</v>
      </c>
      <c r="D45" s="18" t="n">
        <f aca="false">MAX(0,MIN(1,A45-$C$24))</f>
        <v>1</v>
      </c>
      <c r="E45" s="18" t="n">
        <f aca="false">MAX(0,A45-$C$25)</f>
        <v>15</v>
      </c>
      <c r="F45" s="18" t="n">
        <f aca="false">MAX(0,MIN(A45,$C$10+$C$20)-MAX(A45-1,$C$10))</f>
        <v>0</v>
      </c>
      <c r="G45" s="19" t="n">
        <f aca="false">$C$5*(1+$C$6)^(A45-1)*(1-$C$7)</f>
        <v>78229.4389060659</v>
      </c>
      <c r="H45" s="19" t="n">
        <f aca="false">-$C$26*C45+$C$16*(1+$C$17)^E45*(1-$C$7)*D45-$C$23*F45</f>
        <v>98963.6465711106</v>
      </c>
      <c r="I45" s="19" t="n">
        <f aca="false">H45-G45</f>
        <v>20734.2076650447</v>
      </c>
      <c r="J45" s="19" t="n">
        <f aca="false">J44+I45</f>
        <v>81846.0073633018</v>
      </c>
      <c r="K45" s="18" t="n">
        <f aca="false">1/(1+$C$8)^A45</f>
        <v>0.436296687610857</v>
      </c>
      <c r="L45" s="19" t="n">
        <f aca="false">I45*K45*B45</f>
        <v>0</v>
      </c>
      <c r="M45" s="20" t="n">
        <f aca="false">(1+$C$17)^E45*(1-$C$7)*D45*K45*B45</f>
        <v>0</v>
      </c>
      <c r="N45" s="17" t="n">
        <f aca="false">IF(AND(B45=1,J45&gt;=0),A45,999)</f>
        <v>999</v>
      </c>
    </row>
    <row r="46" customFormat="false" ht="15" hidden="false" customHeight="false" outlineLevel="0" collapsed="false">
      <c r="A46" s="17" t="n">
        <v>18</v>
      </c>
      <c r="B46" s="5" t="n">
        <f aca="false">IF(A46&lt;=$C$9,1,0)</f>
        <v>0</v>
      </c>
      <c r="C46" s="18" t="n">
        <f aca="false">MAX(0,MIN(1,$C$10-(A46-1)))</f>
        <v>0</v>
      </c>
      <c r="D46" s="18" t="n">
        <f aca="false">MAX(0,MIN(1,A46-$C$24))</f>
        <v>1</v>
      </c>
      <c r="E46" s="18" t="n">
        <f aca="false">MAX(0,A46-$C$25)</f>
        <v>16</v>
      </c>
      <c r="F46" s="18" t="n">
        <f aca="false">MAX(0,MIN(A46,$C$10+$C$20)-MAX(A46-1,$C$10))</f>
        <v>0</v>
      </c>
      <c r="G46" s="19" t="n">
        <f aca="false">$C$5*(1+$C$6)^(A46-1)*(1-$C$7)</f>
        <v>80576.3220732479</v>
      </c>
      <c r="H46" s="19" t="n">
        <f aca="false">-$C$26*C46+$C$16*(1+$C$17)^E46*(1-$C$7)*D46-$C$23*F46</f>
        <v>102922.192433955</v>
      </c>
      <c r="I46" s="19" t="n">
        <f aca="false">H46-G46</f>
        <v>22345.8703607071</v>
      </c>
      <c r="J46" s="19" t="n">
        <f aca="false">J45+I46</f>
        <v>104191.877724009</v>
      </c>
      <c r="K46" s="18" t="n">
        <f aca="false">1/(1+$C$8)^A46</f>
        <v>0.415520654867483</v>
      </c>
      <c r="L46" s="19" t="n">
        <f aca="false">I46*K46*B46</f>
        <v>0</v>
      </c>
      <c r="M46" s="20" t="n">
        <f aca="false">(1+$C$17)^E46*(1-$C$7)*D46*K46*B46</f>
        <v>0</v>
      </c>
      <c r="N46" s="17" t="n">
        <f aca="false">IF(AND(B46=1,J46&gt;=0),A46,999)</f>
        <v>999</v>
      </c>
    </row>
    <row r="47" customFormat="false" ht="15" hidden="false" customHeight="false" outlineLevel="0" collapsed="false">
      <c r="A47" s="17" t="n">
        <v>19</v>
      </c>
      <c r="B47" s="5" t="n">
        <f aca="false">IF(A47&lt;=$C$9,1,0)</f>
        <v>0</v>
      </c>
      <c r="C47" s="18" t="n">
        <f aca="false">MAX(0,MIN(1,$C$10-(A47-1)))</f>
        <v>0</v>
      </c>
      <c r="D47" s="18" t="n">
        <f aca="false">MAX(0,MIN(1,A47-$C$24))</f>
        <v>1</v>
      </c>
      <c r="E47" s="18" t="n">
        <f aca="false">MAX(0,A47-$C$25)</f>
        <v>17</v>
      </c>
      <c r="F47" s="18" t="n">
        <f aca="false">MAX(0,MIN(A47,$C$10+$C$20)-MAX(A47-1,$C$10))</f>
        <v>0</v>
      </c>
      <c r="G47" s="19" t="n">
        <f aca="false">$C$5*(1+$C$6)^(A47-1)*(1-$C$7)</f>
        <v>82993.6117354454</v>
      </c>
      <c r="H47" s="19" t="n">
        <f aca="false">-$C$26*C47+$C$16*(1+$C$17)^E47*(1-$C$7)*D47-$C$23*F47</f>
        <v>107039.080131313</v>
      </c>
      <c r="I47" s="19" t="n">
        <f aca="false">H47-G47</f>
        <v>24045.4683958678</v>
      </c>
      <c r="J47" s="19" t="n">
        <f aca="false">J46+I47</f>
        <v>128237.346119877</v>
      </c>
      <c r="K47" s="18" t="n">
        <f aca="false">1/(1+$C$8)^A47</f>
        <v>0.39573395701665</v>
      </c>
      <c r="L47" s="19" t="n">
        <f aca="false">I47*K47*B47</f>
        <v>0</v>
      </c>
      <c r="M47" s="20" t="n">
        <f aca="false">(1+$C$17)^E47*(1-$C$7)*D47*K47*B47</f>
        <v>0</v>
      </c>
      <c r="N47" s="17" t="n">
        <f aca="false">IF(AND(B47=1,J47&gt;=0),A47,999)</f>
        <v>999</v>
      </c>
    </row>
    <row r="48" customFormat="false" ht="15" hidden="false" customHeight="false" outlineLevel="0" collapsed="false">
      <c r="A48" s="17" t="n">
        <v>20</v>
      </c>
      <c r="B48" s="5" t="n">
        <f aca="false">IF(A48&lt;=$C$9,1,0)</f>
        <v>0</v>
      </c>
      <c r="C48" s="18" t="n">
        <f aca="false">MAX(0,MIN(1,$C$10-(A48-1)))</f>
        <v>0</v>
      </c>
      <c r="D48" s="18" t="n">
        <f aca="false">MAX(0,MIN(1,A48-$C$24))</f>
        <v>1</v>
      </c>
      <c r="E48" s="18" t="n">
        <f aca="false">MAX(0,A48-$C$25)</f>
        <v>18</v>
      </c>
      <c r="F48" s="18" t="n">
        <f aca="false">MAX(0,MIN(A48,$C$10+$C$20)-MAX(A48-1,$C$10))</f>
        <v>0</v>
      </c>
      <c r="G48" s="19" t="n">
        <f aca="false">$C$5*(1+$C$6)^(A48-1)*(1-$C$7)</f>
        <v>85483.4200875087</v>
      </c>
      <c r="H48" s="19" t="n">
        <f aca="false">-$C$26*C48+$C$16*(1+$C$17)^E48*(1-$C$7)*D48-$C$23*F48</f>
        <v>111320.643336566</v>
      </c>
      <c r="I48" s="19" t="n">
        <f aca="false">H48-G48</f>
        <v>25837.223249057</v>
      </c>
      <c r="J48" s="19" t="n">
        <f aca="false">J47+I48</f>
        <v>154074.569368934</v>
      </c>
      <c r="K48" s="18" t="n">
        <f aca="false">1/(1+$C$8)^A48</f>
        <v>0.376889482873</v>
      </c>
      <c r="L48" s="19" t="n">
        <f aca="false">I48*K48*B48</f>
        <v>0</v>
      </c>
      <c r="M48" s="20" t="n">
        <f aca="false">(1+$C$17)^E48*(1-$C$7)*D48*K48*B48</f>
        <v>0</v>
      </c>
      <c r="N48" s="17" t="n">
        <f aca="false">IF(AND(B48=1,J48&gt;=0),A48,999)</f>
        <v>999</v>
      </c>
    </row>
    <row r="50" customFormat="false" ht="15" hidden="false" customHeight="false" outlineLevel="0" collapsed="false">
      <c r="A50" s="3" t="s">
        <v>92</v>
      </c>
    </row>
    <row r="51" customFormat="false" ht="15" hidden="false" customHeight="false" outlineLevel="0" collapsed="false">
      <c r="A51" s="0" t="s">
        <v>93</v>
      </c>
      <c r="C51" s="21" t="str">
        <f aca="false">IF(MIN(N29:N48)=999,"Not within horizon",MIN(N29:N48))</f>
        <v>Not within horizon</v>
      </c>
    </row>
    <row r="52" customFormat="false" ht="15" hidden="false" customHeight="false" outlineLevel="0" collapsed="false">
      <c r="A52" s="0" t="s">
        <v>94</v>
      </c>
      <c r="C52" s="22" t="n">
        <f aca="false">SUM(L29:L48)</f>
        <v>-34721.1329969283</v>
      </c>
    </row>
    <row r="53" customFormat="false" ht="15" hidden="false" customHeight="false" outlineLevel="0" collapsed="false">
      <c r="A53" s="0" t="s">
        <v>95</v>
      </c>
      <c r="C53" s="23" t="n">
        <f aca="false">SUM(M29:M48)</f>
        <v>5.8399007423638</v>
      </c>
    </row>
    <row r="54" customFormat="false" ht="15" hidden="false" customHeight="false" outlineLevel="0" collapsed="false">
      <c r="A54" s="0" t="s">
        <v>96</v>
      </c>
      <c r="C54" s="22" t="n">
        <f aca="false">IF(C53=0,"n/a",($C$16*C53-C52)/C53)</f>
        <v>79213.5005365167</v>
      </c>
    </row>
    <row r="55" customFormat="false" ht="15" hidden="false" customHeight="false" outlineLevel="0" collapsed="false">
      <c r="A55" s="0" t="s">
        <v>97</v>
      </c>
      <c r="C55" s="22" t="n">
        <f aca="false">IF(C53=0,"n/a",C52+(C54-$C$16)*C53)</f>
        <v>0</v>
      </c>
    </row>
    <row r="56" customFormat="false" ht="15" hidden="false" customHeight="false" outlineLevel="0" collapsed="false">
      <c r="A56" s="0" t="s">
        <v>98</v>
      </c>
      <c r="C56" s="22" t="n">
        <f aca="false">INDEX(J29:J48,$C$9)</f>
        <v>-29556.0257221995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8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6.15" hidden="false" customHeight="false" outlineLevel="0" collapsed="false">
      <c r="A1" s="1" t="s">
        <v>29</v>
      </c>
    </row>
    <row r="2" customFormat="false" ht="15" hidden="false" customHeight="false" outlineLevel="0" collapsed="false">
      <c r="A2" s="8" t="s">
        <v>101</v>
      </c>
    </row>
    <row r="4" customFormat="false" ht="15" hidden="false" customHeight="false" outlineLevel="0" collapsed="false">
      <c r="A4" s="3" t="s">
        <v>35</v>
      </c>
      <c r="B4" s="3" t="s">
        <v>36</v>
      </c>
    </row>
    <row r="5" customFormat="false" ht="15" hidden="false" customHeight="false" outlineLevel="0" collapsed="false">
      <c r="A5" s="2" t="s">
        <v>37</v>
      </c>
      <c r="B5" s="2" t="s">
        <v>38</v>
      </c>
      <c r="C5" s="9" t="n">
        <v>55000</v>
      </c>
    </row>
    <row r="6" customFormat="false" ht="15" hidden="false" customHeight="false" outlineLevel="0" collapsed="false">
      <c r="A6" s="2" t="s">
        <v>39</v>
      </c>
      <c r="B6" s="2" t="s">
        <v>40</v>
      </c>
      <c r="C6" s="10" t="n">
        <v>0.03</v>
      </c>
    </row>
    <row r="7" customFormat="false" ht="15" hidden="false" customHeight="false" outlineLevel="0" collapsed="false">
      <c r="A7" s="2" t="s">
        <v>41</v>
      </c>
      <c r="B7" s="2" t="s">
        <v>42</v>
      </c>
      <c r="C7" s="10" t="n">
        <v>0.25</v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v>0.05</v>
      </c>
    </row>
    <row r="9" customFormat="false" ht="15" hidden="false" customHeight="false" outlineLevel="0" collapsed="false">
      <c r="A9" s="2" t="s">
        <v>45</v>
      </c>
      <c r="B9" s="2" t="s">
        <v>46</v>
      </c>
      <c r="C9" s="11" t="n">
        <v>10</v>
      </c>
    </row>
    <row r="10" customFormat="false" ht="15" hidden="false" customHeight="false" outlineLevel="0" collapsed="false">
      <c r="A10" s="2" t="s">
        <v>47</v>
      </c>
      <c r="B10" s="2" t="s">
        <v>48</v>
      </c>
      <c r="C10" s="12" t="n">
        <v>1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9" t="n">
        <v>30000</v>
      </c>
    </row>
    <row r="12" customFormat="false" ht="15" hidden="false" customHeight="false" outlineLevel="0" collapsed="false">
      <c r="A12" s="2" t="s">
        <v>51</v>
      </c>
      <c r="B12" s="2" t="s">
        <v>52</v>
      </c>
      <c r="C12" s="9" t="n">
        <v>10000</v>
      </c>
    </row>
    <row r="13" customFormat="false" ht="15" hidden="false" customHeight="false" outlineLevel="0" collapsed="false">
      <c r="A13" s="2" t="s">
        <v>53</v>
      </c>
      <c r="B13" s="2" t="s">
        <v>54</v>
      </c>
      <c r="C13" s="9" t="n"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9" t="n">
        <v>0</v>
      </c>
    </row>
    <row r="15" customFormat="false" ht="15" hidden="false" customHeight="false" outlineLevel="0" collapsed="false">
      <c r="A15" s="2" t="s">
        <v>57</v>
      </c>
      <c r="B15" s="2" t="s">
        <v>58</v>
      </c>
      <c r="C15" s="11" t="n">
        <v>3</v>
      </c>
    </row>
    <row r="16" customFormat="false" ht="15" hidden="false" customHeight="false" outlineLevel="0" collapsed="false">
      <c r="A16" s="2" t="s">
        <v>59</v>
      </c>
      <c r="B16" s="2" t="s">
        <v>60</v>
      </c>
      <c r="C16" s="9" t="n">
        <v>75000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10" t="n">
        <v>0.04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9" t="n">
        <v>0</v>
      </c>
    </row>
    <row r="19" customFormat="false" ht="15" hidden="false" customHeight="false" outlineLevel="0" collapsed="false">
      <c r="A19" s="2" t="s">
        <v>65</v>
      </c>
      <c r="B19" s="2" t="s">
        <v>66</v>
      </c>
      <c r="C19" s="10" t="n">
        <v>0.08</v>
      </c>
    </row>
    <row r="20" customFormat="false" ht="15" hidden="false" customHeight="false" outlineLevel="0" collapsed="false">
      <c r="A20" s="2" t="s">
        <v>67</v>
      </c>
      <c r="B20" s="2" t="s">
        <v>68</v>
      </c>
      <c r="C20" s="11" t="n">
        <v>10</v>
      </c>
    </row>
    <row r="22" customFormat="false" ht="15" hidden="false" customHeight="false" outlineLevel="0" collapsed="false">
      <c r="A22" s="3" t="s">
        <v>69</v>
      </c>
    </row>
    <row r="23" customFormat="false" ht="15" hidden="false" customHeight="false" outlineLevel="0" collapsed="false">
      <c r="A23" s="0" t="s">
        <v>70</v>
      </c>
      <c r="B23" s="0" t="s">
        <v>71</v>
      </c>
      <c r="C23" s="13" t="n">
        <f aca="false">IF($C$18=0,0,$C$18*$C$19/(1-(1+$C$19)^(-$C$20)))</f>
        <v>0</v>
      </c>
    </row>
    <row r="24" customFormat="false" ht="15" hidden="false" customHeight="false" outlineLevel="0" collapsed="false">
      <c r="A24" s="0" t="s">
        <v>72</v>
      </c>
      <c r="B24" s="0" t="s">
        <v>73</v>
      </c>
      <c r="C24" s="14" t="n">
        <f aca="false">$C$10+$C$15/12</f>
        <v>1.25</v>
      </c>
    </row>
    <row r="25" customFormat="false" ht="15" hidden="false" customHeight="false" outlineLevel="0" collapsed="false">
      <c r="A25" s="0" t="s">
        <v>74</v>
      </c>
      <c r="B25" s="0" t="s">
        <v>75</v>
      </c>
      <c r="C25" s="15" t="n">
        <f aca="false">INT($C$24)+1</f>
        <v>2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13" t="n">
        <f aca="false">($C$11-$C$12-$C$18)/$C$10+$C$14-$C$13*(1-$C$7)</f>
        <v>20000</v>
      </c>
    </row>
    <row r="28" customFormat="false" ht="42" hidden="false" customHeight="true" outlineLevel="0" collapsed="false">
      <c r="A28" s="16" t="s">
        <v>78</v>
      </c>
      <c r="B28" s="16" t="s">
        <v>79</v>
      </c>
      <c r="C28" s="16" t="s">
        <v>80</v>
      </c>
      <c r="D28" s="16" t="s">
        <v>81</v>
      </c>
      <c r="E28" s="16" t="s">
        <v>82</v>
      </c>
      <c r="F28" s="16" t="s">
        <v>83</v>
      </c>
      <c r="G28" s="16" t="s">
        <v>84</v>
      </c>
      <c r="H28" s="16" t="s">
        <v>85</v>
      </c>
      <c r="I28" s="16" t="s">
        <v>86</v>
      </c>
      <c r="J28" s="16" t="s">
        <v>87</v>
      </c>
      <c r="K28" s="16" t="s">
        <v>88</v>
      </c>
      <c r="L28" s="16" t="s">
        <v>89</v>
      </c>
      <c r="M28" s="16" t="s">
        <v>90</v>
      </c>
      <c r="N28" s="16" t="s">
        <v>91</v>
      </c>
    </row>
    <row r="29" customFormat="false" ht="15" hidden="false" customHeight="false" outlineLevel="0" collapsed="false">
      <c r="A29" s="17" t="n">
        <v>1</v>
      </c>
      <c r="B29" s="5" t="n">
        <f aca="false">IF(A29&lt;=$C$9,1,0)</f>
        <v>1</v>
      </c>
      <c r="C29" s="18" t="n">
        <f aca="false">MAX(0,MIN(1,$C$10-(A29-1)))</f>
        <v>1</v>
      </c>
      <c r="D29" s="18" t="n">
        <f aca="false">MAX(0,MIN(1,A29-$C$24))</f>
        <v>0</v>
      </c>
      <c r="E29" s="18" t="n">
        <f aca="false">MAX(0,A29-$C$25)</f>
        <v>0</v>
      </c>
      <c r="F29" s="18" t="n">
        <f aca="false">MAX(0,MIN(A29,$C$10+$C$20)-MAX(A29-1,$C$10))</f>
        <v>0</v>
      </c>
      <c r="G29" s="19" t="n">
        <f aca="false">$C$5*(1+$C$6)^(A29-1)*(1-$C$7)</f>
        <v>41250</v>
      </c>
      <c r="H29" s="19" t="n">
        <f aca="false">-$C$26*C29+$C$16*(1+$C$17)^E29*(1-$C$7)*D29-$C$23*F29</f>
        <v>-20000</v>
      </c>
      <c r="I29" s="19" t="n">
        <f aca="false">H29-G29</f>
        <v>-61250</v>
      </c>
      <c r="J29" s="19" t="n">
        <f aca="false">I29</f>
        <v>-61250</v>
      </c>
      <c r="K29" s="18" t="n">
        <f aca="false">1/(1+$C$8)^A29</f>
        <v>0.952380952380952</v>
      </c>
      <c r="L29" s="19" t="n">
        <f aca="false">I29*K29*B29</f>
        <v>-58333.3333333333</v>
      </c>
      <c r="M29" s="20" t="n">
        <f aca="false">(1+$C$17)^E29*(1-$C$7)*D29*K29*B29</f>
        <v>0</v>
      </c>
      <c r="N29" s="17" t="n">
        <f aca="false">IF(AND(B29=1,J29&gt;=0),A29,999)</f>
        <v>999</v>
      </c>
    </row>
    <row r="30" customFormat="false" ht="15" hidden="false" customHeight="false" outlineLevel="0" collapsed="false">
      <c r="A30" s="17" t="n">
        <v>2</v>
      </c>
      <c r="B30" s="5" t="n">
        <f aca="false">IF(A30&lt;=$C$9,1,0)</f>
        <v>1</v>
      </c>
      <c r="C30" s="18" t="n">
        <f aca="false">MAX(0,MIN(1,$C$10-(A30-1)))</f>
        <v>0</v>
      </c>
      <c r="D30" s="18" t="n">
        <f aca="false">MAX(0,MIN(1,A30-$C$24))</f>
        <v>0.75</v>
      </c>
      <c r="E30" s="18" t="n">
        <f aca="false">MAX(0,A30-$C$25)</f>
        <v>0</v>
      </c>
      <c r="F30" s="18" t="n">
        <f aca="false">MAX(0,MIN(A30,$C$10+$C$20)-MAX(A30-1,$C$10))</f>
        <v>1</v>
      </c>
      <c r="G30" s="19" t="n">
        <f aca="false">$C$5*(1+$C$6)^(A30-1)*(1-$C$7)</f>
        <v>42487.5</v>
      </c>
      <c r="H30" s="19" t="n">
        <f aca="false">-$C$26*C30+$C$16*(1+$C$17)^E30*(1-$C$7)*D30-$C$23*F30</f>
        <v>42187.5</v>
      </c>
      <c r="I30" s="19" t="n">
        <f aca="false">H30-G30</f>
        <v>-300</v>
      </c>
      <c r="J30" s="19" t="n">
        <f aca="false">J29+I30</f>
        <v>-61550</v>
      </c>
      <c r="K30" s="18" t="n">
        <f aca="false">1/(1+$C$8)^A30</f>
        <v>0.90702947845805</v>
      </c>
      <c r="L30" s="19" t="n">
        <f aca="false">I30*K30*B30</f>
        <v>-272.108843537415</v>
      </c>
      <c r="M30" s="20" t="n">
        <f aca="false">(1+$C$17)^E30*(1-$C$7)*D30*K30*B30</f>
        <v>0.510204081632653</v>
      </c>
      <c r="N30" s="17" t="n">
        <f aca="false">IF(AND(B30=1,J30&gt;=0),A30,999)</f>
        <v>999</v>
      </c>
    </row>
    <row r="31" customFormat="false" ht="15" hidden="false" customHeight="false" outlineLevel="0" collapsed="false">
      <c r="A31" s="17" t="n">
        <v>3</v>
      </c>
      <c r="B31" s="5" t="n">
        <f aca="false">IF(A31&lt;=$C$9,1,0)</f>
        <v>1</v>
      </c>
      <c r="C31" s="18" t="n">
        <f aca="false">MAX(0,MIN(1,$C$10-(A31-1)))</f>
        <v>0</v>
      </c>
      <c r="D31" s="18" t="n">
        <f aca="false">MAX(0,MIN(1,A31-$C$24))</f>
        <v>1</v>
      </c>
      <c r="E31" s="18" t="n">
        <f aca="false">MAX(0,A31-$C$25)</f>
        <v>1</v>
      </c>
      <c r="F31" s="18" t="n">
        <f aca="false">MAX(0,MIN(A31,$C$10+$C$20)-MAX(A31-1,$C$10))</f>
        <v>1</v>
      </c>
      <c r="G31" s="19" t="n">
        <f aca="false">$C$5*(1+$C$6)^(A31-1)*(1-$C$7)</f>
        <v>43762.125</v>
      </c>
      <c r="H31" s="19" t="n">
        <f aca="false">-$C$26*C31+$C$16*(1+$C$17)^E31*(1-$C$7)*D31-$C$23*F31</f>
        <v>58500</v>
      </c>
      <c r="I31" s="19" t="n">
        <f aca="false">H31-G31</f>
        <v>14737.875</v>
      </c>
      <c r="J31" s="19" t="n">
        <f aca="false">J30+I31</f>
        <v>-46812.125</v>
      </c>
      <c r="K31" s="18" t="n">
        <f aca="false">1/(1+$C$8)^A31</f>
        <v>0.863837598531476</v>
      </c>
      <c r="L31" s="19" t="n">
        <f aca="false">I31*K31*B31</f>
        <v>12731.1305474571</v>
      </c>
      <c r="M31" s="20" t="n">
        <f aca="false">(1+$C$17)^E31*(1-$C$7)*D31*K31*B31</f>
        <v>0.673793326854551</v>
      </c>
      <c r="N31" s="17" t="n">
        <f aca="false">IF(AND(B31=1,J31&gt;=0),A31,999)</f>
        <v>999</v>
      </c>
    </row>
    <row r="32" customFormat="false" ht="15" hidden="false" customHeight="false" outlineLevel="0" collapsed="false">
      <c r="A32" s="17" t="n">
        <v>4</v>
      </c>
      <c r="B32" s="5" t="n">
        <f aca="false">IF(A32&lt;=$C$9,1,0)</f>
        <v>1</v>
      </c>
      <c r="C32" s="18" t="n">
        <f aca="false">MAX(0,MIN(1,$C$10-(A32-1)))</f>
        <v>0</v>
      </c>
      <c r="D32" s="18" t="n">
        <f aca="false">MAX(0,MIN(1,A32-$C$24))</f>
        <v>1</v>
      </c>
      <c r="E32" s="18" t="n">
        <f aca="false">MAX(0,A32-$C$25)</f>
        <v>2</v>
      </c>
      <c r="F32" s="18" t="n">
        <f aca="false">MAX(0,MIN(A32,$C$10+$C$20)-MAX(A32-1,$C$10))</f>
        <v>1</v>
      </c>
      <c r="G32" s="19" t="n">
        <f aca="false">$C$5*(1+$C$6)^(A32-1)*(1-$C$7)</f>
        <v>45074.98875</v>
      </c>
      <c r="H32" s="19" t="n">
        <f aca="false">-$C$26*C32+$C$16*(1+$C$17)^E32*(1-$C$7)*D32-$C$23*F32</f>
        <v>60840</v>
      </c>
      <c r="I32" s="19" t="n">
        <f aca="false">H32-G32</f>
        <v>15765.01125</v>
      </c>
      <c r="J32" s="19" t="n">
        <f aca="false">J31+I32</f>
        <v>-31047.11375</v>
      </c>
      <c r="K32" s="18" t="n">
        <f aca="false">1/(1+$C$8)^A32</f>
        <v>0.822702474791882</v>
      </c>
      <c r="L32" s="19" t="n">
        <f aca="false">I32*K32*B32</f>
        <v>12969.9137704969</v>
      </c>
      <c r="M32" s="20" t="n">
        <f aca="false">(1+$C$17)^E32*(1-$C$7)*D32*K32*B32</f>
        <v>0.667376247551175</v>
      </c>
      <c r="N32" s="17" t="n">
        <f aca="false">IF(AND(B32=1,J32&gt;=0),A32,999)</f>
        <v>999</v>
      </c>
    </row>
    <row r="33" customFormat="false" ht="15" hidden="false" customHeight="false" outlineLevel="0" collapsed="false">
      <c r="A33" s="17" t="n">
        <v>5</v>
      </c>
      <c r="B33" s="5" t="n">
        <f aca="false">IF(A33&lt;=$C$9,1,0)</f>
        <v>1</v>
      </c>
      <c r="C33" s="18" t="n">
        <f aca="false">MAX(0,MIN(1,$C$10-(A33-1)))</f>
        <v>0</v>
      </c>
      <c r="D33" s="18" t="n">
        <f aca="false">MAX(0,MIN(1,A33-$C$24))</f>
        <v>1</v>
      </c>
      <c r="E33" s="18" t="n">
        <f aca="false">MAX(0,A33-$C$25)</f>
        <v>3</v>
      </c>
      <c r="F33" s="18" t="n">
        <f aca="false">MAX(0,MIN(A33,$C$10+$C$20)-MAX(A33-1,$C$10))</f>
        <v>1</v>
      </c>
      <c r="G33" s="19" t="n">
        <f aca="false">$C$5*(1+$C$6)^(A33-1)*(1-$C$7)</f>
        <v>46427.2384125</v>
      </c>
      <c r="H33" s="19" t="n">
        <f aca="false">-$C$26*C33+$C$16*(1+$C$17)^E33*(1-$C$7)*D33-$C$23*F33</f>
        <v>63273.6</v>
      </c>
      <c r="I33" s="19" t="n">
        <f aca="false">H33-G33</f>
        <v>16846.3615875</v>
      </c>
      <c r="J33" s="19" t="n">
        <f aca="false">J32+I33</f>
        <v>-14200.7521625</v>
      </c>
      <c r="K33" s="18" t="n">
        <f aca="false">1/(1+$C$8)^A33</f>
        <v>0.783526166468459</v>
      </c>
      <c r="L33" s="19" t="n">
        <f aca="false">I33*K33*B33</f>
        <v>13199.5651135954</v>
      </c>
      <c r="M33" s="20" t="n">
        <f aca="false">(1+$C$17)^E33*(1-$C$7)*D33*K33*B33</f>
        <v>0.661020283288782</v>
      </c>
      <c r="N33" s="17" t="n">
        <f aca="false">IF(AND(B33=1,J33&gt;=0),A33,999)</f>
        <v>999</v>
      </c>
    </row>
    <row r="34" customFormat="false" ht="15" hidden="false" customHeight="false" outlineLevel="0" collapsed="false">
      <c r="A34" s="17" t="n">
        <v>6</v>
      </c>
      <c r="B34" s="5" t="n">
        <f aca="false">IF(A34&lt;=$C$9,1,0)</f>
        <v>1</v>
      </c>
      <c r="C34" s="18" t="n">
        <f aca="false">MAX(0,MIN(1,$C$10-(A34-1)))</f>
        <v>0</v>
      </c>
      <c r="D34" s="18" t="n">
        <f aca="false">MAX(0,MIN(1,A34-$C$24))</f>
        <v>1</v>
      </c>
      <c r="E34" s="18" t="n">
        <f aca="false">MAX(0,A34-$C$25)</f>
        <v>4</v>
      </c>
      <c r="F34" s="18" t="n">
        <f aca="false">MAX(0,MIN(A34,$C$10+$C$20)-MAX(A34-1,$C$10))</f>
        <v>1</v>
      </c>
      <c r="G34" s="19" t="n">
        <f aca="false">$C$5*(1+$C$6)^(A34-1)*(1-$C$7)</f>
        <v>47820.055564875</v>
      </c>
      <c r="H34" s="19" t="n">
        <f aca="false">-$C$26*C34+$C$16*(1+$C$17)^E34*(1-$C$7)*D34-$C$23*F34</f>
        <v>65804.544</v>
      </c>
      <c r="I34" s="19" t="n">
        <f aca="false">H34-G34</f>
        <v>17984.488435125</v>
      </c>
      <c r="J34" s="19" t="n">
        <f aca="false">J33+I34</f>
        <v>3783.73627262503</v>
      </c>
      <c r="K34" s="18" t="n">
        <f aca="false">1/(1+$C$8)^A34</f>
        <v>0.746215396636627</v>
      </c>
      <c r="L34" s="19" t="n">
        <f aca="false">I34*K34*B34</f>
        <v>13420.3021709237</v>
      </c>
      <c r="M34" s="20" t="n">
        <f aca="false">(1+$C$17)^E34*(1-$C$7)*D34*K34*B34</f>
        <v>0.654724852019366</v>
      </c>
      <c r="N34" s="17" t="n">
        <f aca="false">IF(AND(B34=1,J34&gt;=0),A34,999)</f>
        <v>6</v>
      </c>
    </row>
    <row r="35" customFormat="false" ht="15" hidden="false" customHeight="false" outlineLevel="0" collapsed="false">
      <c r="A35" s="17" t="n">
        <v>7</v>
      </c>
      <c r="B35" s="5" t="n">
        <f aca="false">IF(A35&lt;=$C$9,1,0)</f>
        <v>1</v>
      </c>
      <c r="C35" s="18" t="n">
        <f aca="false">MAX(0,MIN(1,$C$10-(A35-1)))</f>
        <v>0</v>
      </c>
      <c r="D35" s="18" t="n">
        <f aca="false">MAX(0,MIN(1,A35-$C$24))</f>
        <v>1</v>
      </c>
      <c r="E35" s="18" t="n">
        <f aca="false">MAX(0,A35-$C$25)</f>
        <v>5</v>
      </c>
      <c r="F35" s="18" t="n">
        <f aca="false">MAX(0,MIN(A35,$C$10+$C$20)-MAX(A35-1,$C$10))</f>
        <v>1</v>
      </c>
      <c r="G35" s="19" t="n">
        <f aca="false">$C$5*(1+$C$6)^(A35-1)*(1-$C$7)</f>
        <v>49254.6572318213</v>
      </c>
      <c r="H35" s="19" t="n">
        <f aca="false">-$C$26*C35+$C$16*(1+$C$17)^E35*(1-$C$7)*D35-$C$23*F35</f>
        <v>68436.72576</v>
      </c>
      <c r="I35" s="19" t="n">
        <f aca="false">H35-G35</f>
        <v>19182.0685281788</v>
      </c>
      <c r="J35" s="19" t="n">
        <f aca="false">J34+I35</f>
        <v>22965.8048008038</v>
      </c>
      <c r="K35" s="18" t="n">
        <f aca="false">1/(1+$C$8)^A35</f>
        <v>0.710681330130121</v>
      </c>
      <c r="L35" s="19" t="n">
        <f aca="false">I35*K35*B35</f>
        <v>13632.3379762532</v>
      </c>
      <c r="M35" s="20" t="n">
        <f aca="false">(1+$C$17)^E35*(1-$C$7)*D35*K35*B35</f>
        <v>0.648489377238229</v>
      </c>
      <c r="N35" s="17" t="n">
        <f aca="false">IF(AND(B35=1,J35&gt;=0),A35,999)</f>
        <v>7</v>
      </c>
    </row>
    <row r="36" customFormat="false" ht="15" hidden="false" customHeight="false" outlineLevel="0" collapsed="false">
      <c r="A36" s="17" t="n">
        <v>8</v>
      </c>
      <c r="B36" s="5" t="n">
        <f aca="false">IF(A36&lt;=$C$9,1,0)</f>
        <v>1</v>
      </c>
      <c r="C36" s="18" t="n">
        <f aca="false">MAX(0,MIN(1,$C$10-(A36-1)))</f>
        <v>0</v>
      </c>
      <c r="D36" s="18" t="n">
        <f aca="false">MAX(0,MIN(1,A36-$C$24))</f>
        <v>1</v>
      </c>
      <c r="E36" s="18" t="n">
        <f aca="false">MAX(0,A36-$C$25)</f>
        <v>6</v>
      </c>
      <c r="F36" s="18" t="n">
        <f aca="false">MAX(0,MIN(A36,$C$10+$C$20)-MAX(A36-1,$C$10))</f>
        <v>1</v>
      </c>
      <c r="G36" s="19" t="n">
        <f aca="false">$C$5*(1+$C$6)^(A36-1)*(1-$C$7)</f>
        <v>50732.2969487759</v>
      </c>
      <c r="H36" s="19" t="n">
        <f aca="false">-$C$26*C36+$C$16*(1+$C$17)^E36*(1-$C$7)*D36-$C$23*F36</f>
        <v>71174.1947904</v>
      </c>
      <c r="I36" s="19" t="n">
        <f aca="false">H36-G36</f>
        <v>20441.8978416241</v>
      </c>
      <c r="J36" s="19" t="n">
        <f aca="false">J35+I36</f>
        <v>43407.7026424279</v>
      </c>
      <c r="K36" s="18" t="n">
        <f aca="false">1/(1+$C$8)^A36</f>
        <v>0.676839362028687</v>
      </c>
      <c r="L36" s="19" t="n">
        <f aca="false">I36*K36*B36</f>
        <v>13835.8810937805</v>
      </c>
      <c r="M36" s="20" t="n">
        <f aca="false">(1+$C$17)^E36*(1-$C$7)*D36*K36*B36</f>
        <v>0.642313287931198</v>
      </c>
      <c r="N36" s="17" t="n">
        <f aca="false">IF(AND(B36=1,J36&gt;=0),A36,999)</f>
        <v>8</v>
      </c>
    </row>
    <row r="37" customFormat="false" ht="15" hidden="false" customHeight="false" outlineLevel="0" collapsed="false">
      <c r="A37" s="17" t="n">
        <v>9</v>
      </c>
      <c r="B37" s="5" t="n">
        <f aca="false">IF(A37&lt;=$C$9,1,0)</f>
        <v>1</v>
      </c>
      <c r="C37" s="18" t="n">
        <f aca="false">MAX(0,MIN(1,$C$10-(A37-1)))</f>
        <v>0</v>
      </c>
      <c r="D37" s="18" t="n">
        <f aca="false">MAX(0,MIN(1,A37-$C$24))</f>
        <v>1</v>
      </c>
      <c r="E37" s="18" t="n">
        <f aca="false">MAX(0,A37-$C$25)</f>
        <v>7</v>
      </c>
      <c r="F37" s="18" t="n">
        <f aca="false">MAX(0,MIN(A37,$C$10+$C$20)-MAX(A37-1,$C$10))</f>
        <v>1</v>
      </c>
      <c r="G37" s="19" t="n">
        <f aca="false">$C$5*(1+$C$6)^(A37-1)*(1-$C$7)</f>
        <v>52254.2658572392</v>
      </c>
      <c r="H37" s="19" t="n">
        <f aca="false">-$C$26*C37+$C$16*(1+$C$17)^E37*(1-$C$7)*D37-$C$23*F37</f>
        <v>74021.162582016</v>
      </c>
      <c r="I37" s="19" t="n">
        <f aca="false">H37-G37</f>
        <v>21766.8967247768</v>
      </c>
      <c r="J37" s="19" t="n">
        <f aca="false">J36+I37</f>
        <v>65174.5993672048</v>
      </c>
      <c r="K37" s="18" t="n">
        <f aca="false">1/(1+$C$8)^A37</f>
        <v>0.644608916217797</v>
      </c>
      <c r="L37" s="19" t="n">
        <f aca="false">I37*K37*B37</f>
        <v>14031.1357071831</v>
      </c>
      <c r="M37" s="20" t="n">
        <f aca="false">(1+$C$17)^E37*(1-$C$7)*D37*K37*B37</f>
        <v>0.636196018522329</v>
      </c>
      <c r="N37" s="17" t="n">
        <f aca="false">IF(AND(B37=1,J37&gt;=0),A37,999)</f>
        <v>9</v>
      </c>
    </row>
    <row r="38" customFormat="false" ht="15" hidden="false" customHeight="false" outlineLevel="0" collapsed="false">
      <c r="A38" s="17" t="n">
        <v>10</v>
      </c>
      <c r="B38" s="5" t="n">
        <f aca="false">IF(A38&lt;=$C$9,1,0)</f>
        <v>1</v>
      </c>
      <c r="C38" s="18" t="n">
        <f aca="false">MAX(0,MIN(1,$C$10-(A38-1)))</f>
        <v>0</v>
      </c>
      <c r="D38" s="18" t="n">
        <f aca="false">MAX(0,MIN(1,A38-$C$24))</f>
        <v>1</v>
      </c>
      <c r="E38" s="18" t="n">
        <f aca="false">MAX(0,A38-$C$25)</f>
        <v>8</v>
      </c>
      <c r="F38" s="18" t="n">
        <f aca="false">MAX(0,MIN(A38,$C$10+$C$20)-MAX(A38-1,$C$10))</f>
        <v>1</v>
      </c>
      <c r="G38" s="19" t="n">
        <f aca="false">$C$5*(1+$C$6)^(A38-1)*(1-$C$7)</f>
        <v>53821.8938329564</v>
      </c>
      <c r="H38" s="19" t="n">
        <f aca="false">-$C$26*C38+$C$16*(1+$C$17)^E38*(1-$C$7)*D38-$C$23*F38</f>
        <v>76982.0090852967</v>
      </c>
      <c r="I38" s="19" t="n">
        <f aca="false">H38-G38</f>
        <v>23160.1152523403</v>
      </c>
      <c r="J38" s="19" t="n">
        <f aca="false">J37+I38</f>
        <v>88334.7146195451</v>
      </c>
      <c r="K38" s="18" t="n">
        <f aca="false">1/(1+$C$8)^A38</f>
        <v>0.613913253540759</v>
      </c>
      <c r="L38" s="19" t="n">
        <f aca="false">I38*K38*B38</f>
        <v>14218.3017069432</v>
      </c>
      <c r="M38" s="20" t="n">
        <f aca="false">(1+$C$17)^E38*(1-$C$7)*D38*K38*B38</f>
        <v>0.630137008822117</v>
      </c>
      <c r="N38" s="17" t="n">
        <f aca="false">IF(AND(B38=1,J38&gt;=0),A38,999)</f>
        <v>10</v>
      </c>
    </row>
    <row r="39" customFormat="false" ht="15" hidden="false" customHeight="false" outlineLevel="0" collapsed="false">
      <c r="A39" s="17" t="n">
        <v>11</v>
      </c>
      <c r="B39" s="5" t="n">
        <f aca="false">IF(A39&lt;=$C$9,1,0)</f>
        <v>0</v>
      </c>
      <c r="C39" s="18" t="n">
        <f aca="false">MAX(0,MIN(1,$C$10-(A39-1)))</f>
        <v>0</v>
      </c>
      <c r="D39" s="18" t="n">
        <f aca="false">MAX(0,MIN(1,A39-$C$24))</f>
        <v>1</v>
      </c>
      <c r="E39" s="18" t="n">
        <f aca="false">MAX(0,A39-$C$25)</f>
        <v>9</v>
      </c>
      <c r="F39" s="18" t="n">
        <f aca="false">MAX(0,MIN(A39,$C$10+$C$20)-MAX(A39-1,$C$10))</f>
        <v>1</v>
      </c>
      <c r="G39" s="19" t="n">
        <f aca="false">$C$5*(1+$C$6)^(A39-1)*(1-$C$7)</f>
        <v>55436.550647945</v>
      </c>
      <c r="H39" s="19" t="n">
        <f aca="false">-$C$26*C39+$C$16*(1+$C$17)^E39*(1-$C$7)*D39-$C$23*F39</f>
        <v>80061.2894487085</v>
      </c>
      <c r="I39" s="19" t="n">
        <f aca="false">H39-G39</f>
        <v>24624.7388007635</v>
      </c>
      <c r="J39" s="19" t="n">
        <f aca="false">J38+I39</f>
        <v>112959.453420309</v>
      </c>
      <c r="K39" s="18" t="n">
        <f aca="false">1/(1+$C$8)^A39</f>
        <v>0.584679289086437</v>
      </c>
      <c r="L39" s="19" t="n">
        <f aca="false">I39*K39*B39</f>
        <v>0</v>
      </c>
      <c r="M39" s="20" t="n">
        <f aca="false">(1+$C$17)^E39*(1-$C$7)*D39*K39*B39</f>
        <v>0</v>
      </c>
      <c r="N39" s="17" t="n">
        <f aca="false">IF(AND(B39=1,J39&gt;=0),A39,999)</f>
        <v>999</v>
      </c>
    </row>
    <row r="40" customFormat="false" ht="15" hidden="false" customHeight="false" outlineLevel="0" collapsed="false">
      <c r="A40" s="17" t="n">
        <v>12</v>
      </c>
      <c r="B40" s="5" t="n">
        <f aca="false">IF(A40&lt;=$C$9,1,0)</f>
        <v>0</v>
      </c>
      <c r="C40" s="18" t="n">
        <f aca="false">MAX(0,MIN(1,$C$10-(A40-1)))</f>
        <v>0</v>
      </c>
      <c r="D40" s="18" t="n">
        <f aca="false">MAX(0,MIN(1,A40-$C$24))</f>
        <v>1</v>
      </c>
      <c r="E40" s="18" t="n">
        <f aca="false">MAX(0,A40-$C$25)</f>
        <v>10</v>
      </c>
      <c r="F40" s="18" t="n">
        <f aca="false">MAX(0,MIN(A40,$C$10+$C$20)-MAX(A40-1,$C$10))</f>
        <v>0</v>
      </c>
      <c r="G40" s="19" t="n">
        <f aca="false">$C$5*(1+$C$6)^(A40-1)*(1-$C$7)</f>
        <v>57099.6471673834</v>
      </c>
      <c r="H40" s="19" t="n">
        <f aca="false">-$C$26*C40+$C$16*(1+$C$17)^E40*(1-$C$7)*D40-$C$23*F40</f>
        <v>83263.7410266569</v>
      </c>
      <c r="I40" s="19" t="n">
        <f aca="false">H40-G40</f>
        <v>26164.0938592735</v>
      </c>
      <c r="J40" s="19" t="n">
        <f aca="false">J39+I40</f>
        <v>139123.547279582</v>
      </c>
      <c r="K40" s="18" t="n">
        <f aca="false">1/(1+$C$8)^A40</f>
        <v>0.556837418177559</v>
      </c>
      <c r="L40" s="19" t="n">
        <f aca="false">I40*K40*B40</f>
        <v>0</v>
      </c>
      <c r="M40" s="20" t="n">
        <f aca="false">(1+$C$17)^E40*(1-$C$7)*D40*K40*B40</f>
        <v>0</v>
      </c>
      <c r="N40" s="17" t="n">
        <f aca="false">IF(AND(B40=1,J40&gt;=0),A40,999)</f>
        <v>999</v>
      </c>
    </row>
    <row r="41" customFormat="false" ht="15" hidden="false" customHeight="false" outlineLevel="0" collapsed="false">
      <c r="A41" s="17" t="n">
        <v>13</v>
      </c>
      <c r="B41" s="5" t="n">
        <f aca="false">IF(A41&lt;=$C$9,1,0)</f>
        <v>0</v>
      </c>
      <c r="C41" s="18" t="n">
        <f aca="false">MAX(0,MIN(1,$C$10-(A41-1)))</f>
        <v>0</v>
      </c>
      <c r="D41" s="18" t="n">
        <f aca="false">MAX(0,MIN(1,A41-$C$24))</f>
        <v>1</v>
      </c>
      <c r="E41" s="18" t="n">
        <f aca="false">MAX(0,A41-$C$25)</f>
        <v>11</v>
      </c>
      <c r="F41" s="18" t="n">
        <f aca="false">MAX(0,MIN(A41,$C$10+$C$20)-MAX(A41-1,$C$10))</f>
        <v>0</v>
      </c>
      <c r="G41" s="19" t="n">
        <f aca="false">$C$5*(1+$C$6)^(A41-1)*(1-$C$7)</f>
        <v>58812.6365824049</v>
      </c>
      <c r="H41" s="19" t="n">
        <f aca="false">-$C$26*C41+$C$16*(1+$C$17)^E41*(1-$C$7)*D41-$C$23*F41</f>
        <v>86594.2906677232</v>
      </c>
      <c r="I41" s="19" t="n">
        <f aca="false">H41-G41</f>
        <v>27781.6540853183</v>
      </c>
      <c r="J41" s="19" t="n">
        <f aca="false">J40+I41</f>
        <v>166905.2013649</v>
      </c>
      <c r="K41" s="18" t="n">
        <f aca="false">1/(1+$C$8)^A41</f>
        <v>0.530321350645295</v>
      </c>
      <c r="L41" s="19" t="n">
        <f aca="false">I41*K41*B41</f>
        <v>0</v>
      </c>
      <c r="M41" s="20" t="n">
        <f aca="false">(1+$C$17)^E41*(1-$C$7)*D41*K41*B41</f>
        <v>0</v>
      </c>
      <c r="N41" s="17" t="n">
        <f aca="false">IF(AND(B41=1,J41&gt;=0),A41,999)</f>
        <v>999</v>
      </c>
    </row>
    <row r="42" customFormat="false" ht="15" hidden="false" customHeight="false" outlineLevel="0" collapsed="false">
      <c r="A42" s="17" t="n">
        <v>14</v>
      </c>
      <c r="B42" s="5" t="n">
        <f aca="false">IF(A42&lt;=$C$9,1,0)</f>
        <v>0</v>
      </c>
      <c r="C42" s="18" t="n">
        <f aca="false">MAX(0,MIN(1,$C$10-(A42-1)))</f>
        <v>0</v>
      </c>
      <c r="D42" s="18" t="n">
        <f aca="false">MAX(0,MIN(1,A42-$C$24))</f>
        <v>1</v>
      </c>
      <c r="E42" s="18" t="n">
        <f aca="false">MAX(0,A42-$C$25)</f>
        <v>12</v>
      </c>
      <c r="F42" s="18" t="n">
        <f aca="false">MAX(0,MIN(A42,$C$10+$C$20)-MAX(A42-1,$C$10))</f>
        <v>0</v>
      </c>
      <c r="G42" s="19" t="n">
        <f aca="false">$C$5*(1+$C$6)^(A42-1)*(1-$C$7)</f>
        <v>60577.0156798771</v>
      </c>
      <c r="H42" s="19" t="n">
        <f aca="false">-$C$26*C42+$C$16*(1+$C$17)^E42*(1-$C$7)*D42-$C$23*F42</f>
        <v>90058.0622944321</v>
      </c>
      <c r="I42" s="19" t="n">
        <f aca="false">H42-G42</f>
        <v>29481.046614555</v>
      </c>
      <c r="J42" s="19" t="n">
        <f aca="false">J41+I42</f>
        <v>196386.247979455</v>
      </c>
      <c r="K42" s="18" t="n">
        <f aca="false">1/(1+$C$8)^A42</f>
        <v>0.505067952995519</v>
      </c>
      <c r="L42" s="19" t="n">
        <f aca="false">I42*K42*B42</f>
        <v>0</v>
      </c>
      <c r="M42" s="20" t="n">
        <f aca="false">(1+$C$17)^E42*(1-$C$7)*D42*K42*B42</f>
        <v>0</v>
      </c>
      <c r="N42" s="17" t="n">
        <f aca="false">IF(AND(B42=1,J42&gt;=0),A42,999)</f>
        <v>999</v>
      </c>
    </row>
    <row r="43" customFormat="false" ht="15" hidden="false" customHeight="false" outlineLevel="0" collapsed="false">
      <c r="A43" s="17" t="n">
        <v>15</v>
      </c>
      <c r="B43" s="5" t="n">
        <f aca="false">IF(A43&lt;=$C$9,1,0)</f>
        <v>0</v>
      </c>
      <c r="C43" s="18" t="n">
        <f aca="false">MAX(0,MIN(1,$C$10-(A43-1)))</f>
        <v>0</v>
      </c>
      <c r="D43" s="18" t="n">
        <f aca="false">MAX(0,MIN(1,A43-$C$24))</f>
        <v>1</v>
      </c>
      <c r="E43" s="18" t="n">
        <f aca="false">MAX(0,A43-$C$25)</f>
        <v>13</v>
      </c>
      <c r="F43" s="18" t="n">
        <f aca="false">MAX(0,MIN(A43,$C$10+$C$20)-MAX(A43-1,$C$10))</f>
        <v>0</v>
      </c>
      <c r="G43" s="19" t="n">
        <f aca="false">$C$5*(1+$C$6)^(A43-1)*(1-$C$7)</f>
        <v>62394.3261502734</v>
      </c>
      <c r="H43" s="19" t="n">
        <f aca="false">-$C$26*C43+$C$16*(1+$C$17)^E43*(1-$C$7)*D43-$C$23*F43</f>
        <v>93660.3847862094</v>
      </c>
      <c r="I43" s="19" t="n">
        <f aca="false">H43-G43</f>
        <v>31266.058635936</v>
      </c>
      <c r="J43" s="19" t="n">
        <f aca="false">J42+I43</f>
        <v>227652.306615391</v>
      </c>
      <c r="K43" s="18" t="n">
        <f aca="false">1/(1+$C$8)^A43</f>
        <v>0.48101709809097</v>
      </c>
      <c r="L43" s="19" t="n">
        <f aca="false">I43*K43*B43</f>
        <v>0</v>
      </c>
      <c r="M43" s="20" t="n">
        <f aca="false">(1+$C$17)^E43*(1-$C$7)*D43*K43*B43</f>
        <v>0</v>
      </c>
      <c r="N43" s="17" t="n">
        <f aca="false">IF(AND(B43=1,J43&gt;=0),A43,999)</f>
        <v>999</v>
      </c>
    </row>
    <row r="44" customFormat="false" ht="15" hidden="false" customHeight="false" outlineLevel="0" collapsed="false">
      <c r="A44" s="17" t="n">
        <v>16</v>
      </c>
      <c r="B44" s="5" t="n">
        <f aca="false">IF(A44&lt;=$C$9,1,0)</f>
        <v>0</v>
      </c>
      <c r="C44" s="18" t="n">
        <f aca="false">MAX(0,MIN(1,$C$10-(A44-1)))</f>
        <v>0</v>
      </c>
      <c r="D44" s="18" t="n">
        <f aca="false">MAX(0,MIN(1,A44-$C$24))</f>
        <v>1</v>
      </c>
      <c r="E44" s="18" t="n">
        <f aca="false">MAX(0,A44-$C$25)</f>
        <v>14</v>
      </c>
      <c r="F44" s="18" t="n">
        <f aca="false">MAX(0,MIN(A44,$C$10+$C$20)-MAX(A44-1,$C$10))</f>
        <v>0</v>
      </c>
      <c r="G44" s="19" t="n">
        <f aca="false">$C$5*(1+$C$6)^(A44-1)*(1-$C$7)</f>
        <v>64266.1559347816</v>
      </c>
      <c r="H44" s="19" t="n">
        <f aca="false">-$C$26*C44+$C$16*(1+$C$17)^E44*(1-$C$7)*D44-$C$23*F44</f>
        <v>97406.8001776577</v>
      </c>
      <c r="I44" s="19" t="n">
        <f aca="false">H44-G44</f>
        <v>33140.6442428762</v>
      </c>
      <c r="J44" s="19" t="n">
        <f aca="false">J43+I44</f>
        <v>260792.950858268</v>
      </c>
      <c r="K44" s="18" t="n">
        <f aca="false">1/(1+$C$8)^A44</f>
        <v>0.4581115219914</v>
      </c>
      <c r="L44" s="19" t="n">
        <f aca="false">I44*K44*B44</f>
        <v>0</v>
      </c>
      <c r="M44" s="20" t="n">
        <f aca="false">(1+$C$17)^E44*(1-$C$7)*D44*K44*B44</f>
        <v>0</v>
      </c>
      <c r="N44" s="17" t="n">
        <f aca="false">IF(AND(B44=1,J44&gt;=0),A44,999)</f>
        <v>999</v>
      </c>
    </row>
    <row r="45" customFormat="false" ht="15" hidden="false" customHeight="false" outlineLevel="0" collapsed="false">
      <c r="A45" s="17" t="n">
        <v>17</v>
      </c>
      <c r="B45" s="5" t="n">
        <f aca="false">IF(A45&lt;=$C$9,1,0)</f>
        <v>0</v>
      </c>
      <c r="C45" s="18" t="n">
        <f aca="false">MAX(0,MIN(1,$C$10-(A45-1)))</f>
        <v>0</v>
      </c>
      <c r="D45" s="18" t="n">
        <f aca="false">MAX(0,MIN(1,A45-$C$24))</f>
        <v>1</v>
      </c>
      <c r="E45" s="18" t="n">
        <f aca="false">MAX(0,A45-$C$25)</f>
        <v>15</v>
      </c>
      <c r="F45" s="18" t="n">
        <f aca="false">MAX(0,MIN(A45,$C$10+$C$20)-MAX(A45-1,$C$10))</f>
        <v>0</v>
      </c>
      <c r="G45" s="19" t="n">
        <f aca="false">$C$5*(1+$C$6)^(A45-1)*(1-$C$7)</f>
        <v>66194.140612825</v>
      </c>
      <c r="H45" s="19" t="n">
        <f aca="false">-$C$26*C45+$C$16*(1+$C$17)^E45*(1-$C$7)*D45-$C$23*F45</f>
        <v>101303.072184764</v>
      </c>
      <c r="I45" s="19" t="n">
        <f aca="false">H45-G45</f>
        <v>35108.931571939</v>
      </c>
      <c r="J45" s="19" t="n">
        <f aca="false">J44+I45</f>
        <v>295901.882430207</v>
      </c>
      <c r="K45" s="18" t="n">
        <f aca="false">1/(1+$C$8)^A45</f>
        <v>0.436296687610857</v>
      </c>
      <c r="L45" s="19" t="n">
        <f aca="false">I45*K45*B45</f>
        <v>0</v>
      </c>
      <c r="M45" s="20" t="n">
        <f aca="false">(1+$C$17)^E45*(1-$C$7)*D45*K45*B45</f>
        <v>0</v>
      </c>
      <c r="N45" s="17" t="n">
        <f aca="false">IF(AND(B45=1,J45&gt;=0),A45,999)</f>
        <v>999</v>
      </c>
    </row>
    <row r="46" customFormat="false" ht="15" hidden="false" customHeight="false" outlineLevel="0" collapsed="false">
      <c r="A46" s="17" t="n">
        <v>18</v>
      </c>
      <c r="B46" s="5" t="n">
        <f aca="false">IF(A46&lt;=$C$9,1,0)</f>
        <v>0</v>
      </c>
      <c r="C46" s="18" t="n">
        <f aca="false">MAX(0,MIN(1,$C$10-(A46-1)))</f>
        <v>0</v>
      </c>
      <c r="D46" s="18" t="n">
        <f aca="false">MAX(0,MIN(1,A46-$C$24))</f>
        <v>1</v>
      </c>
      <c r="E46" s="18" t="n">
        <f aca="false">MAX(0,A46-$C$25)</f>
        <v>16</v>
      </c>
      <c r="F46" s="18" t="n">
        <f aca="false">MAX(0,MIN(A46,$C$10+$C$20)-MAX(A46-1,$C$10))</f>
        <v>0</v>
      </c>
      <c r="G46" s="19" t="n">
        <f aca="false">$C$5*(1+$C$6)^(A46-1)*(1-$C$7)</f>
        <v>68179.9648312098</v>
      </c>
      <c r="H46" s="19" t="n">
        <f aca="false">-$C$26*C46+$C$16*(1+$C$17)^E46*(1-$C$7)*D46-$C$23*F46</f>
        <v>105355.195072155</v>
      </c>
      <c r="I46" s="19" t="n">
        <f aca="false">H46-G46</f>
        <v>37175.2302409449</v>
      </c>
      <c r="J46" s="19" t="n">
        <f aca="false">J45+I46</f>
        <v>333077.112671151</v>
      </c>
      <c r="K46" s="18" t="n">
        <f aca="false">1/(1+$C$8)^A46</f>
        <v>0.415520654867483</v>
      </c>
      <c r="L46" s="19" t="n">
        <f aca="false">I46*K46*B46</f>
        <v>0</v>
      </c>
      <c r="M46" s="20" t="n">
        <f aca="false">(1+$C$17)^E46*(1-$C$7)*D46*K46*B46</f>
        <v>0</v>
      </c>
      <c r="N46" s="17" t="n">
        <f aca="false">IF(AND(B46=1,J46&gt;=0),A46,999)</f>
        <v>999</v>
      </c>
    </row>
    <row r="47" customFormat="false" ht="15" hidden="false" customHeight="false" outlineLevel="0" collapsed="false">
      <c r="A47" s="17" t="n">
        <v>19</v>
      </c>
      <c r="B47" s="5" t="n">
        <f aca="false">IF(A47&lt;=$C$9,1,0)</f>
        <v>0</v>
      </c>
      <c r="C47" s="18" t="n">
        <f aca="false">MAX(0,MIN(1,$C$10-(A47-1)))</f>
        <v>0</v>
      </c>
      <c r="D47" s="18" t="n">
        <f aca="false">MAX(0,MIN(1,A47-$C$24))</f>
        <v>1</v>
      </c>
      <c r="E47" s="18" t="n">
        <f aca="false">MAX(0,A47-$C$25)</f>
        <v>17</v>
      </c>
      <c r="F47" s="18" t="n">
        <f aca="false">MAX(0,MIN(A47,$C$10+$C$20)-MAX(A47-1,$C$10))</f>
        <v>0</v>
      </c>
      <c r="G47" s="19" t="n">
        <f aca="false">$C$5*(1+$C$6)^(A47-1)*(1-$C$7)</f>
        <v>70225.3637761461</v>
      </c>
      <c r="H47" s="19" t="n">
        <f aca="false">-$C$26*C47+$C$16*(1+$C$17)^E47*(1-$C$7)*D47-$C$23*F47</f>
        <v>109569.402875041</v>
      </c>
      <c r="I47" s="19" t="n">
        <f aca="false">H47-G47</f>
        <v>39344.0390988947</v>
      </c>
      <c r="J47" s="19" t="n">
        <f aca="false">J46+I47</f>
        <v>372421.151770046</v>
      </c>
      <c r="K47" s="18" t="n">
        <f aca="false">1/(1+$C$8)^A47</f>
        <v>0.39573395701665</v>
      </c>
      <c r="L47" s="19" t="n">
        <f aca="false">I47*K47*B47</f>
        <v>0</v>
      </c>
      <c r="M47" s="20" t="n">
        <f aca="false">(1+$C$17)^E47*(1-$C$7)*D47*K47*B47</f>
        <v>0</v>
      </c>
      <c r="N47" s="17" t="n">
        <f aca="false">IF(AND(B47=1,J47&gt;=0),A47,999)</f>
        <v>999</v>
      </c>
    </row>
    <row r="48" customFormat="false" ht="15" hidden="false" customHeight="false" outlineLevel="0" collapsed="false">
      <c r="A48" s="17" t="n">
        <v>20</v>
      </c>
      <c r="B48" s="5" t="n">
        <f aca="false">IF(A48&lt;=$C$9,1,0)</f>
        <v>0</v>
      </c>
      <c r="C48" s="18" t="n">
        <f aca="false">MAX(0,MIN(1,$C$10-(A48-1)))</f>
        <v>0</v>
      </c>
      <c r="D48" s="18" t="n">
        <f aca="false">MAX(0,MIN(1,A48-$C$24))</f>
        <v>1</v>
      </c>
      <c r="E48" s="18" t="n">
        <f aca="false">MAX(0,A48-$C$25)</f>
        <v>18</v>
      </c>
      <c r="F48" s="18" t="n">
        <f aca="false">MAX(0,MIN(A48,$C$10+$C$20)-MAX(A48-1,$C$10))</f>
        <v>0</v>
      </c>
      <c r="G48" s="19" t="n">
        <f aca="false">$C$5*(1+$C$6)^(A48-1)*(1-$C$7)</f>
        <v>72332.1246894305</v>
      </c>
      <c r="H48" s="19" t="n">
        <f aca="false">-$C$26*C48+$C$16*(1+$C$17)^E48*(1-$C$7)*D48-$C$23*F48</f>
        <v>113952.178990042</v>
      </c>
      <c r="I48" s="19" t="n">
        <f aca="false">H48-G48</f>
        <v>41620.054300612</v>
      </c>
      <c r="J48" s="19" t="n">
        <f aca="false">J47+I48</f>
        <v>414041.206070658</v>
      </c>
      <c r="K48" s="18" t="n">
        <f aca="false">1/(1+$C$8)^A48</f>
        <v>0.376889482873</v>
      </c>
      <c r="L48" s="19" t="n">
        <f aca="false">I48*K48*B48</f>
        <v>0</v>
      </c>
      <c r="M48" s="20" t="n">
        <f aca="false">(1+$C$17)^E48*(1-$C$7)*D48*K48*B48</f>
        <v>0</v>
      </c>
      <c r="N48" s="17" t="n">
        <f aca="false">IF(AND(B48=1,J48&gt;=0),A48,999)</f>
        <v>999</v>
      </c>
    </row>
    <row r="50" customFormat="false" ht="15" hidden="false" customHeight="false" outlineLevel="0" collapsed="false">
      <c r="A50" s="3" t="s">
        <v>92</v>
      </c>
    </row>
    <row r="51" customFormat="false" ht="15" hidden="false" customHeight="false" outlineLevel="0" collapsed="false">
      <c r="A51" s="0" t="s">
        <v>93</v>
      </c>
      <c r="C51" s="21" t="n">
        <f aca="false">IF(MIN(N29:N48)=999,"Not within horizon",MIN(N29:N48))</f>
        <v>6</v>
      </c>
    </row>
    <row r="52" customFormat="false" ht="15" hidden="false" customHeight="false" outlineLevel="0" collapsed="false">
      <c r="A52" s="0" t="s">
        <v>94</v>
      </c>
      <c r="C52" s="22" t="n">
        <f aca="false">SUM(L29:L48)</f>
        <v>49433.1259097622</v>
      </c>
    </row>
    <row r="53" customFormat="false" ht="15" hidden="false" customHeight="false" outlineLevel="0" collapsed="false">
      <c r="A53" s="0" t="s">
        <v>95</v>
      </c>
      <c r="C53" s="23" t="n">
        <f aca="false">SUM(M29:M48)</f>
        <v>5.7242544838604</v>
      </c>
    </row>
    <row r="54" customFormat="false" ht="15" hidden="false" customHeight="false" outlineLevel="0" collapsed="false">
      <c r="A54" s="0" t="s">
        <v>96</v>
      </c>
      <c r="C54" s="22" t="n">
        <f aca="false">IF(C53=0,"n/a",($C$16*C53-C52)/C53)</f>
        <v>66364.2682991926</v>
      </c>
    </row>
    <row r="55" customFormat="false" ht="15" hidden="false" customHeight="false" outlineLevel="0" collapsed="false">
      <c r="A55" s="0" t="s">
        <v>97</v>
      </c>
      <c r="C55" s="22" t="n">
        <f aca="false">IF(C53=0,"n/a",C52+(C54-$C$16)*C53)</f>
        <v>0</v>
      </c>
    </row>
    <row r="56" customFormat="false" ht="15" hidden="false" customHeight="false" outlineLevel="0" collapsed="false">
      <c r="A56" s="0" t="s">
        <v>98</v>
      </c>
      <c r="C56" s="22" t="n">
        <f aca="false">INDEX(J29:J48,$C$9)</f>
        <v>88334.7146195451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8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8" t="s">
        <v>102</v>
      </c>
    </row>
    <row r="4" customFormat="false" ht="15" hidden="false" customHeight="false" outlineLevel="0" collapsed="false">
      <c r="A4" s="3" t="s">
        <v>35</v>
      </c>
      <c r="B4" s="3" t="s">
        <v>36</v>
      </c>
    </row>
    <row r="5" customFormat="false" ht="15" hidden="false" customHeight="false" outlineLevel="0" collapsed="false">
      <c r="A5" s="2" t="s">
        <v>37</v>
      </c>
      <c r="B5" s="2" t="s">
        <v>38</v>
      </c>
      <c r="C5" s="9" t="n">
        <v>90000</v>
      </c>
    </row>
    <row r="6" customFormat="false" ht="15" hidden="false" customHeight="false" outlineLevel="0" collapsed="false">
      <c r="A6" s="2" t="s">
        <v>39</v>
      </c>
      <c r="B6" s="2" t="s">
        <v>40</v>
      </c>
      <c r="C6" s="10" t="n">
        <v>0.03</v>
      </c>
    </row>
    <row r="7" customFormat="false" ht="15" hidden="false" customHeight="false" outlineLevel="0" collapsed="false">
      <c r="A7" s="2" t="s">
        <v>41</v>
      </c>
      <c r="B7" s="2" t="s">
        <v>42</v>
      </c>
      <c r="C7" s="10" t="n">
        <v>0.25</v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v>0.05</v>
      </c>
    </row>
    <row r="9" customFormat="false" ht="15" hidden="false" customHeight="false" outlineLevel="0" collapsed="false">
      <c r="A9" s="2" t="s">
        <v>45</v>
      </c>
      <c r="B9" s="2" t="s">
        <v>46</v>
      </c>
      <c r="C9" s="11" t="n">
        <v>10</v>
      </c>
    </row>
    <row r="10" customFormat="false" ht="15" hidden="false" customHeight="false" outlineLevel="0" collapsed="false">
      <c r="A10" s="2" t="s">
        <v>47</v>
      </c>
      <c r="B10" s="2" t="s">
        <v>48</v>
      </c>
      <c r="C10" s="12" t="n">
        <v>2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9" t="n">
        <v>90000</v>
      </c>
    </row>
    <row r="12" customFormat="false" ht="15" hidden="false" customHeight="false" outlineLevel="0" collapsed="false">
      <c r="A12" s="2" t="s">
        <v>51</v>
      </c>
      <c r="B12" s="2" t="s">
        <v>52</v>
      </c>
      <c r="C12" s="9" t="n">
        <v>0</v>
      </c>
    </row>
    <row r="13" customFormat="false" ht="15" hidden="false" customHeight="false" outlineLevel="0" collapsed="false">
      <c r="A13" s="2" t="s">
        <v>53</v>
      </c>
      <c r="B13" s="2" t="s">
        <v>54</v>
      </c>
      <c r="C13" s="9" t="n"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9" t="n">
        <v>0</v>
      </c>
    </row>
    <row r="15" customFormat="false" ht="15" hidden="false" customHeight="false" outlineLevel="0" collapsed="false">
      <c r="A15" s="2" t="s">
        <v>57</v>
      </c>
      <c r="B15" s="2" t="s">
        <v>58</v>
      </c>
      <c r="C15" s="11" t="n">
        <v>3</v>
      </c>
    </row>
    <row r="16" customFormat="false" ht="15" hidden="false" customHeight="false" outlineLevel="0" collapsed="false">
      <c r="A16" s="2" t="s">
        <v>59</v>
      </c>
      <c r="B16" s="2" t="s">
        <v>60</v>
      </c>
      <c r="C16" s="9" t="n">
        <v>92000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10" t="n">
        <v>0.04</v>
      </c>
    </row>
    <row r="18" customFormat="false" ht="15" hidden="false" customHeight="false" outlineLevel="0" collapsed="false">
      <c r="A18" s="2" t="s">
        <v>63</v>
      </c>
      <c r="B18" s="2" t="s">
        <v>64</v>
      </c>
      <c r="C18" s="9" t="n">
        <v>90000</v>
      </c>
    </row>
    <row r="19" customFormat="false" ht="15" hidden="false" customHeight="false" outlineLevel="0" collapsed="false">
      <c r="A19" s="2" t="s">
        <v>65</v>
      </c>
      <c r="B19" s="2" t="s">
        <v>66</v>
      </c>
      <c r="C19" s="10" t="n">
        <v>0.08</v>
      </c>
    </row>
    <row r="20" customFormat="false" ht="15" hidden="false" customHeight="false" outlineLevel="0" collapsed="false">
      <c r="A20" s="2" t="s">
        <v>67</v>
      </c>
      <c r="B20" s="2" t="s">
        <v>68</v>
      </c>
      <c r="C20" s="11" t="n">
        <v>10</v>
      </c>
    </row>
    <row r="22" customFormat="false" ht="15" hidden="false" customHeight="false" outlineLevel="0" collapsed="false">
      <c r="A22" s="3" t="s">
        <v>69</v>
      </c>
    </row>
    <row r="23" customFormat="false" ht="15" hidden="false" customHeight="false" outlineLevel="0" collapsed="false">
      <c r="A23" s="0" t="s">
        <v>70</v>
      </c>
      <c r="B23" s="0" t="s">
        <v>71</v>
      </c>
      <c r="C23" s="13" t="n">
        <f aca="false">IF($C$18=0,0,$C$18*$C$19/(1-(1+$C$19)^(-$C$20)))</f>
        <v>13412.6539827368</v>
      </c>
    </row>
    <row r="24" customFormat="false" ht="15" hidden="false" customHeight="false" outlineLevel="0" collapsed="false">
      <c r="A24" s="0" t="s">
        <v>72</v>
      </c>
      <c r="B24" s="0" t="s">
        <v>73</v>
      </c>
      <c r="C24" s="14" t="n">
        <f aca="false">$C$10+$C$15/12</f>
        <v>2.25</v>
      </c>
    </row>
    <row r="25" customFormat="false" ht="15" hidden="false" customHeight="false" outlineLevel="0" collapsed="false">
      <c r="A25" s="0" t="s">
        <v>74</v>
      </c>
      <c r="B25" s="0" t="s">
        <v>75</v>
      </c>
      <c r="C25" s="15" t="n">
        <f aca="false">INT($C$24)+1</f>
        <v>3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13" t="n">
        <f aca="false">($C$11-$C$12-$C$18)/$C$10+$C$14-$C$13*(1-$C$7)</f>
        <v>0</v>
      </c>
    </row>
    <row r="28" customFormat="false" ht="42" hidden="false" customHeight="true" outlineLevel="0" collapsed="false">
      <c r="A28" s="16" t="s">
        <v>78</v>
      </c>
      <c r="B28" s="16" t="s">
        <v>79</v>
      </c>
      <c r="C28" s="16" t="s">
        <v>80</v>
      </c>
      <c r="D28" s="16" t="s">
        <v>81</v>
      </c>
      <c r="E28" s="16" t="s">
        <v>82</v>
      </c>
      <c r="F28" s="16" t="s">
        <v>83</v>
      </c>
      <c r="G28" s="16" t="s">
        <v>84</v>
      </c>
      <c r="H28" s="16" t="s">
        <v>85</v>
      </c>
      <c r="I28" s="16" t="s">
        <v>86</v>
      </c>
      <c r="J28" s="16" t="s">
        <v>87</v>
      </c>
      <c r="K28" s="16" t="s">
        <v>88</v>
      </c>
      <c r="L28" s="16" t="s">
        <v>89</v>
      </c>
      <c r="M28" s="16" t="s">
        <v>90</v>
      </c>
      <c r="N28" s="16" t="s">
        <v>91</v>
      </c>
    </row>
    <row r="29" customFormat="false" ht="15" hidden="false" customHeight="false" outlineLevel="0" collapsed="false">
      <c r="A29" s="17" t="n">
        <v>1</v>
      </c>
      <c r="B29" s="5" t="n">
        <f aca="false">IF(A29&lt;=$C$9,1,0)</f>
        <v>1</v>
      </c>
      <c r="C29" s="18" t="n">
        <f aca="false">MAX(0,MIN(1,$C$10-(A29-1)))</f>
        <v>1</v>
      </c>
      <c r="D29" s="18" t="n">
        <f aca="false">MAX(0,MIN(1,A29-$C$24))</f>
        <v>0</v>
      </c>
      <c r="E29" s="18" t="n">
        <f aca="false">MAX(0,A29-$C$25)</f>
        <v>0</v>
      </c>
      <c r="F29" s="18" t="n">
        <f aca="false">MAX(0,MIN(A29,$C$10+$C$20)-MAX(A29-1,$C$10))</f>
        <v>0</v>
      </c>
      <c r="G29" s="19" t="n">
        <f aca="false">$C$5*(1+$C$6)^(A29-1)*(1-$C$7)</f>
        <v>67500</v>
      </c>
      <c r="H29" s="19" t="n">
        <f aca="false">-$C$26*C29+$C$16*(1+$C$17)^E29*(1-$C$7)*D29-$C$23*F29</f>
        <v>0</v>
      </c>
      <c r="I29" s="19" t="n">
        <f aca="false">H29-G29</f>
        <v>-67500</v>
      </c>
      <c r="J29" s="19" t="n">
        <f aca="false">I29</f>
        <v>-67500</v>
      </c>
      <c r="K29" s="18" t="n">
        <f aca="false">1/(1+$C$8)^A29</f>
        <v>0.952380952380952</v>
      </c>
      <c r="L29" s="19" t="n">
        <f aca="false">I29*K29*B29</f>
        <v>-64285.7142857143</v>
      </c>
      <c r="M29" s="20" t="n">
        <f aca="false">(1+$C$17)^E29*(1-$C$7)*D29*K29*B29</f>
        <v>0</v>
      </c>
      <c r="N29" s="17" t="n">
        <f aca="false">IF(AND(B29=1,J29&gt;=0),A29,999)</f>
        <v>999</v>
      </c>
    </row>
    <row r="30" customFormat="false" ht="15" hidden="false" customHeight="false" outlineLevel="0" collapsed="false">
      <c r="A30" s="17" t="n">
        <v>2</v>
      </c>
      <c r="B30" s="5" t="n">
        <f aca="false">IF(A30&lt;=$C$9,1,0)</f>
        <v>1</v>
      </c>
      <c r="C30" s="18" t="n">
        <f aca="false">MAX(0,MIN(1,$C$10-(A30-1)))</f>
        <v>1</v>
      </c>
      <c r="D30" s="18" t="n">
        <f aca="false">MAX(0,MIN(1,A30-$C$24))</f>
        <v>0</v>
      </c>
      <c r="E30" s="18" t="n">
        <f aca="false">MAX(0,A30-$C$25)</f>
        <v>0</v>
      </c>
      <c r="F30" s="18" t="n">
        <f aca="false">MAX(0,MIN(A30,$C$10+$C$20)-MAX(A30-1,$C$10))</f>
        <v>0</v>
      </c>
      <c r="G30" s="19" t="n">
        <f aca="false">$C$5*(1+$C$6)^(A30-1)*(1-$C$7)</f>
        <v>69525</v>
      </c>
      <c r="H30" s="19" t="n">
        <f aca="false">-$C$26*C30+$C$16*(1+$C$17)^E30*(1-$C$7)*D30-$C$23*F30</f>
        <v>0</v>
      </c>
      <c r="I30" s="19" t="n">
        <f aca="false">H30-G30</f>
        <v>-69525</v>
      </c>
      <c r="J30" s="19" t="n">
        <f aca="false">J29+I30</f>
        <v>-137025</v>
      </c>
      <c r="K30" s="18" t="n">
        <f aca="false">1/(1+$C$8)^A30</f>
        <v>0.90702947845805</v>
      </c>
      <c r="L30" s="19" t="n">
        <f aca="false">I30*K30*B30</f>
        <v>-63061.2244897959</v>
      </c>
      <c r="M30" s="20" t="n">
        <f aca="false">(1+$C$17)^E30*(1-$C$7)*D30*K30*B30</f>
        <v>0</v>
      </c>
      <c r="N30" s="17" t="n">
        <f aca="false">IF(AND(B30=1,J30&gt;=0),A30,999)</f>
        <v>999</v>
      </c>
    </row>
    <row r="31" customFormat="false" ht="15" hidden="false" customHeight="false" outlineLevel="0" collapsed="false">
      <c r="A31" s="17" t="n">
        <v>3</v>
      </c>
      <c r="B31" s="5" t="n">
        <f aca="false">IF(A31&lt;=$C$9,1,0)</f>
        <v>1</v>
      </c>
      <c r="C31" s="18" t="n">
        <f aca="false">MAX(0,MIN(1,$C$10-(A31-1)))</f>
        <v>0</v>
      </c>
      <c r="D31" s="18" t="n">
        <f aca="false">MAX(0,MIN(1,A31-$C$24))</f>
        <v>0.75</v>
      </c>
      <c r="E31" s="18" t="n">
        <f aca="false">MAX(0,A31-$C$25)</f>
        <v>0</v>
      </c>
      <c r="F31" s="18" t="n">
        <f aca="false">MAX(0,MIN(A31,$C$10+$C$20)-MAX(A31-1,$C$10))</f>
        <v>1</v>
      </c>
      <c r="G31" s="19" t="n">
        <f aca="false">$C$5*(1+$C$6)^(A31-1)*(1-$C$7)</f>
        <v>71610.75</v>
      </c>
      <c r="H31" s="19" t="n">
        <f aca="false">-$C$26*C31+$C$16*(1+$C$17)^E31*(1-$C$7)*D31-$C$23*F31</f>
        <v>38337.3460172632</v>
      </c>
      <c r="I31" s="19" t="n">
        <f aca="false">H31-G31</f>
        <v>-33273.4039827368</v>
      </c>
      <c r="J31" s="19" t="n">
        <f aca="false">J30+I31</f>
        <v>-170298.403982737</v>
      </c>
      <c r="K31" s="18" t="n">
        <f aca="false">1/(1+$C$8)^A31</f>
        <v>0.863837598531476</v>
      </c>
      <c r="L31" s="19" t="n">
        <f aca="false">I31*K31*B31</f>
        <v>-28742.817391415</v>
      </c>
      <c r="M31" s="20" t="n">
        <f aca="false">(1+$C$17)^E31*(1-$C$7)*D31*K31*B31</f>
        <v>0.485908649173955</v>
      </c>
      <c r="N31" s="17" t="n">
        <f aca="false">IF(AND(B31=1,J31&gt;=0),A31,999)</f>
        <v>999</v>
      </c>
    </row>
    <row r="32" customFormat="false" ht="15" hidden="false" customHeight="false" outlineLevel="0" collapsed="false">
      <c r="A32" s="17" t="n">
        <v>4</v>
      </c>
      <c r="B32" s="5" t="n">
        <f aca="false">IF(A32&lt;=$C$9,1,0)</f>
        <v>1</v>
      </c>
      <c r="C32" s="18" t="n">
        <f aca="false">MAX(0,MIN(1,$C$10-(A32-1)))</f>
        <v>0</v>
      </c>
      <c r="D32" s="18" t="n">
        <f aca="false">MAX(0,MIN(1,A32-$C$24))</f>
        <v>1</v>
      </c>
      <c r="E32" s="18" t="n">
        <f aca="false">MAX(0,A32-$C$25)</f>
        <v>1</v>
      </c>
      <c r="F32" s="18" t="n">
        <f aca="false">MAX(0,MIN(A32,$C$10+$C$20)-MAX(A32-1,$C$10))</f>
        <v>1</v>
      </c>
      <c r="G32" s="19" t="n">
        <f aca="false">$C$5*(1+$C$6)^(A32-1)*(1-$C$7)</f>
        <v>73759.0725</v>
      </c>
      <c r="H32" s="19" t="n">
        <f aca="false">-$C$26*C32+$C$16*(1+$C$17)^E32*(1-$C$7)*D32-$C$23*F32</f>
        <v>58347.3460172632</v>
      </c>
      <c r="I32" s="19" t="n">
        <f aca="false">H32-G32</f>
        <v>-15411.7264827368</v>
      </c>
      <c r="J32" s="19" t="n">
        <f aca="false">J31+I32</f>
        <v>-185710.130465474</v>
      </c>
      <c r="K32" s="18" t="n">
        <f aca="false">1/(1+$C$8)^A32</f>
        <v>0.822702474791882</v>
      </c>
      <c r="L32" s="19" t="n">
        <f aca="false">I32*K32*B32</f>
        <v>-12679.2655181631</v>
      </c>
      <c r="M32" s="20" t="n">
        <f aca="false">(1+$C$17)^E32*(1-$C$7)*D32*K32*B32</f>
        <v>0.641707930337668</v>
      </c>
      <c r="N32" s="17" t="n">
        <f aca="false">IF(AND(B32=1,J32&gt;=0),A32,999)</f>
        <v>999</v>
      </c>
    </row>
    <row r="33" customFormat="false" ht="15" hidden="false" customHeight="false" outlineLevel="0" collapsed="false">
      <c r="A33" s="17" t="n">
        <v>5</v>
      </c>
      <c r="B33" s="5" t="n">
        <f aca="false">IF(A33&lt;=$C$9,1,0)</f>
        <v>1</v>
      </c>
      <c r="C33" s="18" t="n">
        <f aca="false">MAX(0,MIN(1,$C$10-(A33-1)))</f>
        <v>0</v>
      </c>
      <c r="D33" s="18" t="n">
        <f aca="false">MAX(0,MIN(1,A33-$C$24))</f>
        <v>1</v>
      </c>
      <c r="E33" s="18" t="n">
        <f aca="false">MAX(0,A33-$C$25)</f>
        <v>2</v>
      </c>
      <c r="F33" s="18" t="n">
        <f aca="false">MAX(0,MIN(A33,$C$10+$C$20)-MAX(A33-1,$C$10))</f>
        <v>1</v>
      </c>
      <c r="G33" s="19" t="n">
        <f aca="false">$C$5*(1+$C$6)^(A33-1)*(1-$C$7)</f>
        <v>75971.844675</v>
      </c>
      <c r="H33" s="19" t="n">
        <f aca="false">-$C$26*C33+$C$16*(1+$C$17)^E33*(1-$C$7)*D33-$C$23*F33</f>
        <v>61217.7460172632</v>
      </c>
      <c r="I33" s="19" t="n">
        <f aca="false">H33-G33</f>
        <v>-14754.0986577368</v>
      </c>
      <c r="J33" s="19" t="n">
        <f aca="false">J32+I33</f>
        <v>-200464.22912321</v>
      </c>
      <c r="K33" s="18" t="n">
        <f aca="false">1/(1+$C$8)^A33</f>
        <v>0.783526166468459</v>
      </c>
      <c r="L33" s="19" t="n">
        <f aca="false">I33*K33*B33</f>
        <v>-11560.2223609939</v>
      </c>
      <c r="M33" s="20" t="n">
        <f aca="false">(1+$C$17)^E33*(1-$C$7)*D33*K33*B33</f>
        <v>0.635596426239214</v>
      </c>
      <c r="N33" s="17" t="n">
        <f aca="false">IF(AND(B33=1,J33&gt;=0),A33,999)</f>
        <v>999</v>
      </c>
    </row>
    <row r="34" customFormat="false" ht="15" hidden="false" customHeight="false" outlineLevel="0" collapsed="false">
      <c r="A34" s="17" t="n">
        <v>6</v>
      </c>
      <c r="B34" s="5" t="n">
        <f aca="false">IF(A34&lt;=$C$9,1,0)</f>
        <v>1</v>
      </c>
      <c r="C34" s="18" t="n">
        <f aca="false">MAX(0,MIN(1,$C$10-(A34-1)))</f>
        <v>0</v>
      </c>
      <c r="D34" s="18" t="n">
        <f aca="false">MAX(0,MIN(1,A34-$C$24))</f>
        <v>1</v>
      </c>
      <c r="E34" s="18" t="n">
        <f aca="false">MAX(0,A34-$C$25)</f>
        <v>3</v>
      </c>
      <c r="F34" s="18" t="n">
        <f aca="false">MAX(0,MIN(A34,$C$10+$C$20)-MAX(A34-1,$C$10))</f>
        <v>1</v>
      </c>
      <c r="G34" s="19" t="n">
        <f aca="false">$C$5*(1+$C$6)^(A34-1)*(1-$C$7)</f>
        <v>78251.00001525</v>
      </c>
      <c r="H34" s="19" t="n">
        <f aca="false">-$C$26*C34+$C$16*(1+$C$17)^E34*(1-$C$7)*D34-$C$23*F34</f>
        <v>64202.9620172632</v>
      </c>
      <c r="I34" s="19" t="n">
        <f aca="false">H34-G34</f>
        <v>-14048.0379979868</v>
      </c>
      <c r="J34" s="19" t="n">
        <f aca="false">J33+I34</f>
        <v>-214512.267121197</v>
      </c>
      <c r="K34" s="18" t="n">
        <f aca="false">1/(1+$C$8)^A34</f>
        <v>0.746215396636627</v>
      </c>
      <c r="L34" s="19" t="n">
        <f aca="false">I34*K34*B34</f>
        <v>-10482.8622466341</v>
      </c>
      <c r="M34" s="20" t="n">
        <f aca="false">(1+$C$17)^E34*(1-$C$7)*D34*K34*B34</f>
        <v>0.629543126941698</v>
      </c>
      <c r="N34" s="17" t="n">
        <f aca="false">IF(AND(B34=1,J34&gt;=0),A34,999)</f>
        <v>999</v>
      </c>
    </row>
    <row r="35" customFormat="false" ht="15" hidden="false" customHeight="false" outlineLevel="0" collapsed="false">
      <c r="A35" s="17" t="n">
        <v>7</v>
      </c>
      <c r="B35" s="5" t="n">
        <f aca="false">IF(A35&lt;=$C$9,1,0)</f>
        <v>1</v>
      </c>
      <c r="C35" s="18" t="n">
        <f aca="false">MAX(0,MIN(1,$C$10-(A35-1)))</f>
        <v>0</v>
      </c>
      <c r="D35" s="18" t="n">
        <f aca="false">MAX(0,MIN(1,A35-$C$24))</f>
        <v>1</v>
      </c>
      <c r="E35" s="18" t="n">
        <f aca="false">MAX(0,A35-$C$25)</f>
        <v>4</v>
      </c>
      <c r="F35" s="18" t="n">
        <f aca="false">MAX(0,MIN(A35,$C$10+$C$20)-MAX(A35-1,$C$10))</f>
        <v>1</v>
      </c>
      <c r="G35" s="19" t="n">
        <f aca="false">$C$5*(1+$C$6)^(A35-1)*(1-$C$7)</f>
        <v>80598.5300157075</v>
      </c>
      <c r="H35" s="19" t="n">
        <f aca="false">-$C$26*C35+$C$16*(1+$C$17)^E35*(1-$C$7)*D35-$C$23*F35</f>
        <v>67307.5866572632</v>
      </c>
      <c r="I35" s="19" t="n">
        <f aca="false">H35-G35</f>
        <v>-13290.9433584443</v>
      </c>
      <c r="J35" s="19" t="n">
        <f aca="false">J34+I35</f>
        <v>-227803.210479641</v>
      </c>
      <c r="K35" s="18" t="n">
        <f aca="false">1/(1+$C$8)^A35</f>
        <v>0.710681330130121</v>
      </c>
      <c r="L35" s="19" t="n">
        <f aca="false">I35*K35*B35</f>
        <v>-9445.62530466328</v>
      </c>
      <c r="M35" s="20" t="n">
        <f aca="false">(1+$C$17)^E35*(1-$C$7)*D35*K35*B35</f>
        <v>0.623547478113681</v>
      </c>
      <c r="N35" s="17" t="n">
        <f aca="false">IF(AND(B35=1,J35&gt;=0),A35,999)</f>
        <v>999</v>
      </c>
    </row>
    <row r="36" customFormat="false" ht="15" hidden="false" customHeight="false" outlineLevel="0" collapsed="false">
      <c r="A36" s="17" t="n">
        <v>8</v>
      </c>
      <c r="B36" s="5" t="n">
        <f aca="false">IF(A36&lt;=$C$9,1,0)</f>
        <v>1</v>
      </c>
      <c r="C36" s="18" t="n">
        <f aca="false">MAX(0,MIN(1,$C$10-(A36-1)))</f>
        <v>0</v>
      </c>
      <c r="D36" s="18" t="n">
        <f aca="false">MAX(0,MIN(1,A36-$C$24))</f>
        <v>1</v>
      </c>
      <c r="E36" s="18" t="n">
        <f aca="false">MAX(0,A36-$C$25)</f>
        <v>5</v>
      </c>
      <c r="F36" s="18" t="n">
        <f aca="false">MAX(0,MIN(A36,$C$10+$C$20)-MAX(A36-1,$C$10))</f>
        <v>1</v>
      </c>
      <c r="G36" s="19" t="n">
        <f aca="false">$C$5*(1+$C$6)^(A36-1)*(1-$C$7)</f>
        <v>83016.4859161788</v>
      </c>
      <c r="H36" s="19" t="n">
        <f aca="false">-$C$26*C36+$C$16*(1+$C$17)^E36*(1-$C$7)*D36-$C$23*F36</f>
        <v>70536.3962828632</v>
      </c>
      <c r="I36" s="19" t="n">
        <f aca="false">H36-G36</f>
        <v>-12480.0896333155</v>
      </c>
      <c r="J36" s="19" t="n">
        <f aca="false">J35+I36</f>
        <v>-240283.300112957</v>
      </c>
      <c r="K36" s="18" t="n">
        <f aca="false">1/(1+$C$8)^A36</f>
        <v>0.676839362028687</v>
      </c>
      <c r="L36" s="19" t="n">
        <f aca="false">I36*K36*B36</f>
        <v>-8447.01590547411</v>
      </c>
      <c r="M36" s="20" t="n">
        <f aca="false">(1+$C$17)^E36*(1-$C$7)*D36*K36*B36</f>
        <v>0.617608930703075</v>
      </c>
      <c r="N36" s="17" t="n">
        <f aca="false">IF(AND(B36=1,J36&gt;=0),A36,999)</f>
        <v>999</v>
      </c>
    </row>
    <row r="37" customFormat="false" ht="15" hidden="false" customHeight="false" outlineLevel="0" collapsed="false">
      <c r="A37" s="17" t="n">
        <v>9</v>
      </c>
      <c r="B37" s="5" t="n">
        <f aca="false">IF(A37&lt;=$C$9,1,0)</f>
        <v>1</v>
      </c>
      <c r="C37" s="18" t="n">
        <f aca="false">MAX(0,MIN(1,$C$10-(A37-1)))</f>
        <v>0</v>
      </c>
      <c r="D37" s="18" t="n">
        <f aca="false">MAX(0,MIN(1,A37-$C$24))</f>
        <v>1</v>
      </c>
      <c r="E37" s="18" t="n">
        <f aca="false">MAX(0,A37-$C$25)</f>
        <v>6</v>
      </c>
      <c r="F37" s="18" t="n">
        <f aca="false">MAX(0,MIN(A37,$C$10+$C$20)-MAX(A37-1,$C$10))</f>
        <v>1</v>
      </c>
      <c r="G37" s="19" t="n">
        <f aca="false">$C$5*(1+$C$6)^(A37-1)*(1-$C$7)</f>
        <v>85506.9804936641</v>
      </c>
      <c r="H37" s="19" t="n">
        <f aca="false">-$C$26*C37+$C$16*(1+$C$17)^E37*(1-$C$7)*D37-$C$23*F37</f>
        <v>73894.3582934872</v>
      </c>
      <c r="I37" s="19" t="n">
        <f aca="false">H37-G37</f>
        <v>-11612.6222001769</v>
      </c>
      <c r="J37" s="19" t="n">
        <f aca="false">J36+I37</f>
        <v>-251895.922313134</v>
      </c>
      <c r="K37" s="18" t="n">
        <f aca="false">1/(1+$C$8)^A37</f>
        <v>0.644608916217797</v>
      </c>
      <c r="L37" s="19" t="n">
        <f aca="false">I37*K37*B37</f>
        <v>-7485.59981090274</v>
      </c>
      <c r="M37" s="20" t="n">
        <f aca="false">(1+$C$17)^E37*(1-$C$7)*D37*K37*B37</f>
        <v>0.611726940886855</v>
      </c>
      <c r="N37" s="17" t="n">
        <f aca="false">IF(AND(B37=1,J37&gt;=0),A37,999)</f>
        <v>999</v>
      </c>
    </row>
    <row r="38" customFormat="false" ht="15" hidden="false" customHeight="false" outlineLevel="0" collapsed="false">
      <c r="A38" s="17" t="n">
        <v>10</v>
      </c>
      <c r="B38" s="5" t="n">
        <f aca="false">IF(A38&lt;=$C$9,1,0)</f>
        <v>1</v>
      </c>
      <c r="C38" s="18" t="n">
        <f aca="false">MAX(0,MIN(1,$C$10-(A38-1)))</f>
        <v>0</v>
      </c>
      <c r="D38" s="18" t="n">
        <f aca="false">MAX(0,MIN(1,A38-$C$24))</f>
        <v>1</v>
      </c>
      <c r="E38" s="18" t="n">
        <f aca="false">MAX(0,A38-$C$25)</f>
        <v>7</v>
      </c>
      <c r="F38" s="18" t="n">
        <f aca="false">MAX(0,MIN(A38,$C$10+$C$20)-MAX(A38-1,$C$10))</f>
        <v>1</v>
      </c>
      <c r="G38" s="19" t="n">
        <f aca="false">$C$5*(1+$C$6)^(A38-1)*(1-$C$7)</f>
        <v>88072.189908474</v>
      </c>
      <c r="H38" s="19" t="n">
        <f aca="false">-$C$26*C38+$C$16*(1+$C$17)^E38*(1-$C$7)*D38-$C$23*F38</f>
        <v>77386.6387845362</v>
      </c>
      <c r="I38" s="19" t="n">
        <f aca="false">H38-G38</f>
        <v>-10685.5511239378</v>
      </c>
      <c r="J38" s="19" t="n">
        <f aca="false">J37+I38</f>
        <v>-262581.473437072</v>
      </c>
      <c r="K38" s="18" t="n">
        <f aca="false">1/(1+$C$8)^A38</f>
        <v>0.613913253540759</v>
      </c>
      <c r="L38" s="19" t="n">
        <f aca="false">I38*K38*B38</f>
        <v>-6560.00145637279</v>
      </c>
      <c r="M38" s="20" t="n">
        <f aca="false">(1+$C$17)^E38*(1-$C$7)*D38*K38*B38</f>
        <v>0.605900970021266</v>
      </c>
      <c r="N38" s="17" t="n">
        <f aca="false">IF(AND(B38=1,J38&gt;=0),A38,999)</f>
        <v>999</v>
      </c>
    </row>
    <row r="39" customFormat="false" ht="15" hidden="false" customHeight="false" outlineLevel="0" collapsed="false">
      <c r="A39" s="17" t="n">
        <v>11</v>
      </c>
      <c r="B39" s="5" t="n">
        <f aca="false">IF(A39&lt;=$C$9,1,0)</f>
        <v>0</v>
      </c>
      <c r="C39" s="18" t="n">
        <f aca="false">MAX(0,MIN(1,$C$10-(A39-1)))</f>
        <v>0</v>
      </c>
      <c r="D39" s="18" t="n">
        <f aca="false">MAX(0,MIN(1,A39-$C$24))</f>
        <v>1</v>
      </c>
      <c r="E39" s="18" t="n">
        <f aca="false">MAX(0,A39-$C$25)</f>
        <v>8</v>
      </c>
      <c r="F39" s="18" t="n">
        <f aca="false">MAX(0,MIN(A39,$C$10+$C$20)-MAX(A39-1,$C$10))</f>
        <v>1</v>
      </c>
      <c r="G39" s="19" t="n">
        <f aca="false">$C$5*(1+$C$6)^(A39-1)*(1-$C$7)</f>
        <v>90714.3556057283</v>
      </c>
      <c r="H39" s="19" t="n">
        <f aca="false">-$C$26*C39+$C$16*(1+$C$17)^E39*(1-$C$7)*D39-$C$23*F39</f>
        <v>81018.6104952271</v>
      </c>
      <c r="I39" s="19" t="n">
        <f aca="false">H39-G39</f>
        <v>-9695.74511050114</v>
      </c>
      <c r="J39" s="19" t="n">
        <f aca="false">J38+I39</f>
        <v>-272277.218547573</v>
      </c>
      <c r="K39" s="18" t="n">
        <f aca="false">1/(1+$C$8)^A39</f>
        <v>0.584679289086437</v>
      </c>
      <c r="L39" s="19" t="n">
        <f aca="false">I39*K39*B39</f>
        <v>-0</v>
      </c>
      <c r="M39" s="20" t="n">
        <f aca="false">(1+$C$17)^E39*(1-$C$7)*D39*K39*B39</f>
        <v>0</v>
      </c>
      <c r="N39" s="17" t="n">
        <f aca="false">IF(AND(B39=1,J39&gt;=0),A39,999)</f>
        <v>999</v>
      </c>
    </row>
    <row r="40" customFormat="false" ht="15" hidden="false" customHeight="false" outlineLevel="0" collapsed="false">
      <c r="A40" s="17" t="n">
        <v>12</v>
      </c>
      <c r="B40" s="5" t="n">
        <f aca="false">IF(A40&lt;=$C$9,1,0)</f>
        <v>0</v>
      </c>
      <c r="C40" s="18" t="n">
        <f aca="false">MAX(0,MIN(1,$C$10-(A40-1)))</f>
        <v>0</v>
      </c>
      <c r="D40" s="18" t="n">
        <f aca="false">MAX(0,MIN(1,A40-$C$24))</f>
        <v>1</v>
      </c>
      <c r="E40" s="18" t="n">
        <f aca="false">MAX(0,A40-$C$25)</f>
        <v>9</v>
      </c>
      <c r="F40" s="18" t="n">
        <f aca="false">MAX(0,MIN(A40,$C$10+$C$20)-MAX(A40-1,$C$10))</f>
        <v>1</v>
      </c>
      <c r="G40" s="19" t="n">
        <f aca="false">$C$5*(1+$C$6)^(A40-1)*(1-$C$7)</f>
        <v>93435.7862739001</v>
      </c>
      <c r="H40" s="19" t="n">
        <f aca="false">-$C$26*C40+$C$16*(1+$C$17)^E40*(1-$C$7)*D40-$C$23*F40</f>
        <v>84795.8610743457</v>
      </c>
      <c r="I40" s="19" t="n">
        <f aca="false">H40-G40</f>
        <v>-8639.92519955442</v>
      </c>
      <c r="J40" s="19" t="n">
        <f aca="false">J39+I40</f>
        <v>-280917.143747127</v>
      </c>
      <c r="K40" s="18" t="n">
        <f aca="false">1/(1+$C$8)^A40</f>
        <v>0.556837418177559</v>
      </c>
      <c r="L40" s="19" t="n">
        <f aca="false">I40*K40*B40</f>
        <v>-0</v>
      </c>
      <c r="M40" s="20" t="n">
        <f aca="false">(1+$C$17)^E40*(1-$C$7)*D40*K40*B40</f>
        <v>0</v>
      </c>
      <c r="N40" s="17" t="n">
        <f aca="false">IF(AND(B40=1,J40&gt;=0),A40,999)</f>
        <v>999</v>
      </c>
    </row>
    <row r="41" customFormat="false" ht="15" hidden="false" customHeight="false" outlineLevel="0" collapsed="false">
      <c r="A41" s="17" t="n">
        <v>13</v>
      </c>
      <c r="B41" s="5" t="n">
        <f aca="false">IF(A41&lt;=$C$9,1,0)</f>
        <v>0</v>
      </c>
      <c r="C41" s="18" t="n">
        <f aca="false">MAX(0,MIN(1,$C$10-(A41-1)))</f>
        <v>0</v>
      </c>
      <c r="D41" s="18" t="n">
        <f aca="false">MAX(0,MIN(1,A41-$C$24))</f>
        <v>1</v>
      </c>
      <c r="E41" s="18" t="n">
        <f aca="false">MAX(0,A41-$C$25)</f>
        <v>10</v>
      </c>
      <c r="F41" s="18" t="n">
        <f aca="false">MAX(0,MIN(A41,$C$10+$C$20)-MAX(A41-1,$C$10))</f>
        <v>0</v>
      </c>
      <c r="G41" s="19" t="n">
        <f aca="false">$C$5*(1+$C$6)^(A41-1)*(1-$C$7)</f>
        <v>96238.8598621171</v>
      </c>
      <c r="H41" s="19" t="n">
        <f aca="false">-$C$26*C41+$C$16*(1+$C$17)^E41*(1-$C$7)*D41-$C$23*F41</f>
        <v>102136.855659366</v>
      </c>
      <c r="I41" s="19" t="n">
        <f aca="false">H41-G41</f>
        <v>5897.99579724867</v>
      </c>
      <c r="J41" s="19" t="n">
        <f aca="false">J40+I41</f>
        <v>-275019.147949879</v>
      </c>
      <c r="K41" s="18" t="n">
        <f aca="false">1/(1+$C$8)^A41</f>
        <v>0.530321350645295</v>
      </c>
      <c r="L41" s="19" t="n">
        <f aca="false">I41*K41*B41</f>
        <v>0</v>
      </c>
      <c r="M41" s="20" t="n">
        <f aca="false">(1+$C$17)^E41*(1-$C$7)*D41*K41*B41</f>
        <v>0</v>
      </c>
      <c r="N41" s="17" t="n">
        <f aca="false">IF(AND(B41=1,J41&gt;=0),A41,999)</f>
        <v>999</v>
      </c>
    </row>
    <row r="42" customFormat="false" ht="15" hidden="false" customHeight="false" outlineLevel="0" collapsed="false">
      <c r="A42" s="17" t="n">
        <v>14</v>
      </c>
      <c r="B42" s="5" t="n">
        <f aca="false">IF(A42&lt;=$C$9,1,0)</f>
        <v>0</v>
      </c>
      <c r="C42" s="18" t="n">
        <f aca="false">MAX(0,MIN(1,$C$10-(A42-1)))</f>
        <v>0</v>
      </c>
      <c r="D42" s="18" t="n">
        <f aca="false">MAX(0,MIN(1,A42-$C$24))</f>
        <v>1</v>
      </c>
      <c r="E42" s="18" t="n">
        <f aca="false">MAX(0,A42-$C$25)</f>
        <v>11</v>
      </c>
      <c r="F42" s="18" t="n">
        <f aca="false">MAX(0,MIN(A42,$C$10+$C$20)-MAX(A42-1,$C$10))</f>
        <v>0</v>
      </c>
      <c r="G42" s="19" t="n">
        <f aca="false">$C$5*(1+$C$6)^(A42-1)*(1-$C$7)</f>
        <v>99126.0256579806</v>
      </c>
      <c r="H42" s="19" t="n">
        <f aca="false">-$C$26*C42+$C$16*(1+$C$17)^E42*(1-$C$7)*D42-$C$23*F42</f>
        <v>106222.32988574</v>
      </c>
      <c r="I42" s="19" t="n">
        <f aca="false">H42-G42</f>
        <v>7096.30422775977</v>
      </c>
      <c r="J42" s="19" t="n">
        <f aca="false">J41+I42</f>
        <v>-267922.843722119</v>
      </c>
      <c r="K42" s="18" t="n">
        <f aca="false">1/(1+$C$8)^A42</f>
        <v>0.505067952995519</v>
      </c>
      <c r="L42" s="19" t="n">
        <f aca="false">I42*K42*B42</f>
        <v>0</v>
      </c>
      <c r="M42" s="20" t="n">
        <f aca="false">(1+$C$17)^E42*(1-$C$7)*D42*K42*B42</f>
        <v>0</v>
      </c>
      <c r="N42" s="17" t="n">
        <f aca="false">IF(AND(B42=1,J42&gt;=0),A42,999)</f>
        <v>999</v>
      </c>
    </row>
    <row r="43" customFormat="false" ht="15" hidden="false" customHeight="false" outlineLevel="0" collapsed="false">
      <c r="A43" s="17" t="n">
        <v>15</v>
      </c>
      <c r="B43" s="5" t="n">
        <f aca="false">IF(A43&lt;=$C$9,1,0)</f>
        <v>0</v>
      </c>
      <c r="C43" s="18" t="n">
        <f aca="false">MAX(0,MIN(1,$C$10-(A43-1)))</f>
        <v>0</v>
      </c>
      <c r="D43" s="18" t="n">
        <f aca="false">MAX(0,MIN(1,A43-$C$24))</f>
        <v>1</v>
      </c>
      <c r="E43" s="18" t="n">
        <f aca="false">MAX(0,A43-$C$25)</f>
        <v>12</v>
      </c>
      <c r="F43" s="18" t="n">
        <f aca="false">MAX(0,MIN(A43,$C$10+$C$20)-MAX(A43-1,$C$10))</f>
        <v>0</v>
      </c>
      <c r="G43" s="19" t="n">
        <f aca="false">$C$5*(1+$C$6)^(A43-1)*(1-$C$7)</f>
        <v>102099.80642772</v>
      </c>
      <c r="H43" s="19" t="n">
        <f aca="false">-$C$26*C43+$C$16*(1+$C$17)^E43*(1-$C$7)*D43-$C$23*F43</f>
        <v>110471.22308117</v>
      </c>
      <c r="I43" s="19" t="n">
        <f aca="false">H43-G43</f>
        <v>8371.41665344997</v>
      </c>
      <c r="J43" s="19" t="n">
        <f aca="false">J42+I43</f>
        <v>-259551.427068669</v>
      </c>
      <c r="K43" s="18" t="n">
        <f aca="false">1/(1+$C$8)^A43</f>
        <v>0.48101709809097</v>
      </c>
      <c r="L43" s="19" t="n">
        <f aca="false">I43*K43*B43</f>
        <v>0</v>
      </c>
      <c r="M43" s="20" t="n">
        <f aca="false">(1+$C$17)^E43*(1-$C$7)*D43*K43*B43</f>
        <v>0</v>
      </c>
      <c r="N43" s="17" t="n">
        <f aca="false">IF(AND(B43=1,J43&gt;=0),A43,999)</f>
        <v>999</v>
      </c>
    </row>
    <row r="44" customFormat="false" ht="15" hidden="false" customHeight="false" outlineLevel="0" collapsed="false">
      <c r="A44" s="17" t="n">
        <v>16</v>
      </c>
      <c r="B44" s="5" t="n">
        <f aca="false">IF(A44&lt;=$C$9,1,0)</f>
        <v>0</v>
      </c>
      <c r="C44" s="18" t="n">
        <f aca="false">MAX(0,MIN(1,$C$10-(A44-1)))</f>
        <v>0</v>
      </c>
      <c r="D44" s="18" t="n">
        <f aca="false">MAX(0,MIN(1,A44-$C$24))</f>
        <v>1</v>
      </c>
      <c r="E44" s="18" t="n">
        <f aca="false">MAX(0,A44-$C$25)</f>
        <v>13</v>
      </c>
      <c r="F44" s="18" t="n">
        <f aca="false">MAX(0,MIN(A44,$C$10+$C$20)-MAX(A44-1,$C$10))</f>
        <v>0</v>
      </c>
      <c r="G44" s="19" t="n">
        <f aca="false">$C$5*(1+$C$6)^(A44-1)*(1-$C$7)</f>
        <v>105162.800620552</v>
      </c>
      <c r="H44" s="19" t="n">
        <f aca="false">-$C$26*C44+$C$16*(1+$C$17)^E44*(1-$C$7)*D44-$C$23*F44</f>
        <v>114890.072004417</v>
      </c>
      <c r="I44" s="19" t="n">
        <f aca="false">H44-G44</f>
        <v>9727.27138386521</v>
      </c>
      <c r="J44" s="19" t="n">
        <f aca="false">J43+I44</f>
        <v>-249824.155684804</v>
      </c>
      <c r="K44" s="18" t="n">
        <f aca="false">1/(1+$C$8)^A44</f>
        <v>0.4581115219914</v>
      </c>
      <c r="L44" s="19" t="n">
        <f aca="false">I44*K44*B44</f>
        <v>0</v>
      </c>
      <c r="M44" s="20" t="n">
        <f aca="false">(1+$C$17)^E44*(1-$C$7)*D44*K44*B44</f>
        <v>0</v>
      </c>
      <c r="N44" s="17" t="n">
        <f aca="false">IF(AND(B44=1,J44&gt;=0),A44,999)</f>
        <v>999</v>
      </c>
    </row>
    <row r="45" customFormat="false" ht="15" hidden="false" customHeight="false" outlineLevel="0" collapsed="false">
      <c r="A45" s="17" t="n">
        <v>17</v>
      </c>
      <c r="B45" s="5" t="n">
        <f aca="false">IF(A45&lt;=$C$9,1,0)</f>
        <v>0</v>
      </c>
      <c r="C45" s="18" t="n">
        <f aca="false">MAX(0,MIN(1,$C$10-(A45-1)))</f>
        <v>0</v>
      </c>
      <c r="D45" s="18" t="n">
        <f aca="false">MAX(0,MIN(1,A45-$C$24))</f>
        <v>1</v>
      </c>
      <c r="E45" s="18" t="n">
        <f aca="false">MAX(0,A45-$C$25)</f>
        <v>14</v>
      </c>
      <c r="F45" s="18" t="n">
        <f aca="false">MAX(0,MIN(A45,$C$10+$C$20)-MAX(A45-1,$C$10))</f>
        <v>0</v>
      </c>
      <c r="G45" s="19" t="n">
        <f aca="false">$C$5*(1+$C$6)^(A45-1)*(1-$C$7)</f>
        <v>108317.684639168</v>
      </c>
      <c r="H45" s="19" t="n">
        <f aca="false">-$C$26*C45+$C$16*(1+$C$17)^E45*(1-$C$7)*D45-$C$23*F45</f>
        <v>119485.674884594</v>
      </c>
      <c r="I45" s="19" t="n">
        <f aca="false">H45-G45</f>
        <v>11167.9902454253</v>
      </c>
      <c r="J45" s="19" t="n">
        <f aca="false">J44+I45</f>
        <v>-238656.165439378</v>
      </c>
      <c r="K45" s="18" t="n">
        <f aca="false">1/(1+$C$8)^A45</f>
        <v>0.436296687610857</v>
      </c>
      <c r="L45" s="19" t="n">
        <f aca="false">I45*K45*B45</f>
        <v>0</v>
      </c>
      <c r="M45" s="20" t="n">
        <f aca="false">(1+$C$17)^E45*(1-$C$7)*D45*K45*B45</f>
        <v>0</v>
      </c>
      <c r="N45" s="17" t="n">
        <f aca="false">IF(AND(B45=1,J45&gt;=0),A45,999)</f>
        <v>999</v>
      </c>
    </row>
    <row r="46" customFormat="false" ht="15" hidden="false" customHeight="false" outlineLevel="0" collapsed="false">
      <c r="A46" s="17" t="n">
        <v>18</v>
      </c>
      <c r="B46" s="5" t="n">
        <f aca="false">IF(A46&lt;=$C$9,1,0)</f>
        <v>0</v>
      </c>
      <c r="C46" s="18" t="n">
        <f aca="false">MAX(0,MIN(1,$C$10-(A46-1)))</f>
        <v>0</v>
      </c>
      <c r="D46" s="18" t="n">
        <f aca="false">MAX(0,MIN(1,A46-$C$24))</f>
        <v>1</v>
      </c>
      <c r="E46" s="18" t="n">
        <f aca="false">MAX(0,A46-$C$25)</f>
        <v>15</v>
      </c>
      <c r="F46" s="18" t="n">
        <f aca="false">MAX(0,MIN(A46,$C$10+$C$20)-MAX(A46-1,$C$10))</f>
        <v>0</v>
      </c>
      <c r="G46" s="19" t="n">
        <f aca="false">$C$5*(1+$C$6)^(A46-1)*(1-$C$7)</f>
        <v>111567.215178343</v>
      </c>
      <c r="H46" s="19" t="n">
        <f aca="false">-$C$26*C46+$C$16*(1+$C$17)^E46*(1-$C$7)*D46-$C$23*F46</f>
        <v>124265.101879977</v>
      </c>
      <c r="I46" s="19" t="n">
        <f aca="false">H46-G46</f>
        <v>12697.886701634</v>
      </c>
      <c r="J46" s="19" t="n">
        <f aca="false">J45+I46</f>
        <v>-225958.278737744</v>
      </c>
      <c r="K46" s="18" t="n">
        <f aca="false">1/(1+$C$8)^A46</f>
        <v>0.415520654867483</v>
      </c>
      <c r="L46" s="19" t="n">
        <f aca="false">I46*K46*B46</f>
        <v>0</v>
      </c>
      <c r="M46" s="20" t="n">
        <f aca="false">(1+$C$17)^E46*(1-$C$7)*D46*K46*B46</f>
        <v>0</v>
      </c>
      <c r="N46" s="17" t="n">
        <f aca="false">IF(AND(B46=1,J46&gt;=0),A46,999)</f>
        <v>999</v>
      </c>
    </row>
    <row r="47" customFormat="false" ht="15" hidden="false" customHeight="false" outlineLevel="0" collapsed="false">
      <c r="A47" s="17" t="n">
        <v>19</v>
      </c>
      <c r="B47" s="5" t="n">
        <f aca="false">IF(A47&lt;=$C$9,1,0)</f>
        <v>0</v>
      </c>
      <c r="C47" s="18" t="n">
        <f aca="false">MAX(0,MIN(1,$C$10-(A47-1)))</f>
        <v>0</v>
      </c>
      <c r="D47" s="18" t="n">
        <f aca="false">MAX(0,MIN(1,A47-$C$24))</f>
        <v>1</v>
      </c>
      <c r="E47" s="18" t="n">
        <f aca="false">MAX(0,A47-$C$25)</f>
        <v>16</v>
      </c>
      <c r="F47" s="18" t="n">
        <f aca="false">MAX(0,MIN(A47,$C$10+$C$20)-MAX(A47-1,$C$10))</f>
        <v>0</v>
      </c>
      <c r="G47" s="19" t="n">
        <f aca="false">$C$5*(1+$C$6)^(A47-1)*(1-$C$7)</f>
        <v>114914.231633694</v>
      </c>
      <c r="H47" s="19" t="n">
        <f aca="false">-$C$26*C47+$C$16*(1+$C$17)^E47*(1-$C$7)*D47-$C$23*F47</f>
        <v>129235.705955176</v>
      </c>
      <c r="I47" s="19" t="n">
        <f aca="false">H47-G47</f>
        <v>14321.4743214828</v>
      </c>
      <c r="J47" s="19" t="n">
        <f aca="false">J46+I47</f>
        <v>-211636.804416262</v>
      </c>
      <c r="K47" s="18" t="n">
        <f aca="false">1/(1+$C$8)^A47</f>
        <v>0.39573395701665</v>
      </c>
      <c r="L47" s="19" t="n">
        <f aca="false">I47*K47*B47</f>
        <v>0</v>
      </c>
      <c r="M47" s="20" t="n">
        <f aca="false">(1+$C$17)^E47*(1-$C$7)*D47*K47*B47</f>
        <v>0</v>
      </c>
      <c r="N47" s="17" t="n">
        <f aca="false">IF(AND(B47=1,J47&gt;=0),A47,999)</f>
        <v>999</v>
      </c>
    </row>
    <row r="48" customFormat="false" ht="15" hidden="false" customHeight="false" outlineLevel="0" collapsed="false">
      <c r="A48" s="17" t="n">
        <v>20</v>
      </c>
      <c r="B48" s="5" t="n">
        <f aca="false">IF(A48&lt;=$C$9,1,0)</f>
        <v>0</v>
      </c>
      <c r="C48" s="18" t="n">
        <f aca="false">MAX(0,MIN(1,$C$10-(A48-1)))</f>
        <v>0</v>
      </c>
      <c r="D48" s="18" t="n">
        <f aca="false">MAX(0,MIN(1,A48-$C$24))</f>
        <v>1</v>
      </c>
      <c r="E48" s="18" t="n">
        <f aca="false">MAX(0,A48-$C$25)</f>
        <v>17</v>
      </c>
      <c r="F48" s="18" t="n">
        <f aca="false">MAX(0,MIN(A48,$C$10+$C$20)-MAX(A48-1,$C$10))</f>
        <v>0</v>
      </c>
      <c r="G48" s="19" t="n">
        <f aca="false">$C$5*(1+$C$6)^(A48-1)*(1-$C$7)</f>
        <v>118361.658582704</v>
      </c>
      <c r="H48" s="19" t="n">
        <f aca="false">-$C$26*C48+$C$16*(1+$C$17)^E48*(1-$C$7)*D48-$C$23*F48</f>
        <v>134405.134193383</v>
      </c>
      <c r="I48" s="19" t="n">
        <f aca="false">H48-G48</f>
        <v>16043.475610679</v>
      </c>
      <c r="J48" s="19" t="n">
        <f aca="false">J47+I48</f>
        <v>-195593.328805582</v>
      </c>
      <c r="K48" s="18" t="n">
        <f aca="false">1/(1+$C$8)^A48</f>
        <v>0.376889482873</v>
      </c>
      <c r="L48" s="19" t="n">
        <f aca="false">I48*K48*B48</f>
        <v>0</v>
      </c>
      <c r="M48" s="20" t="n">
        <f aca="false">(1+$C$17)^E48*(1-$C$7)*D48*K48*B48</f>
        <v>0</v>
      </c>
      <c r="N48" s="17" t="n">
        <f aca="false">IF(AND(B48=1,J48&gt;=0),A48,999)</f>
        <v>999</v>
      </c>
    </row>
    <row r="50" customFormat="false" ht="15" hidden="false" customHeight="false" outlineLevel="0" collapsed="false">
      <c r="A50" s="3" t="s">
        <v>92</v>
      </c>
    </row>
    <row r="51" customFormat="false" ht="15" hidden="false" customHeight="false" outlineLevel="0" collapsed="false">
      <c r="A51" s="0" t="s">
        <v>93</v>
      </c>
      <c r="C51" s="21" t="str">
        <f aca="false">IF(MIN(N29:N48)=999,"Not within horizon",MIN(N29:N48))</f>
        <v>Not within horizon</v>
      </c>
    </row>
    <row r="52" customFormat="false" ht="15" hidden="false" customHeight="false" outlineLevel="0" collapsed="false">
      <c r="A52" s="0" t="s">
        <v>94</v>
      </c>
      <c r="C52" s="22" t="n">
        <f aca="false">SUM(L29:L48)</f>
        <v>-222750.348770129</v>
      </c>
    </row>
    <row r="53" customFormat="false" ht="15" hidden="false" customHeight="false" outlineLevel="0" collapsed="false">
      <c r="A53" s="0" t="s">
        <v>95</v>
      </c>
      <c r="C53" s="23" t="n">
        <f aca="false">SUM(M29:M48)</f>
        <v>4.85154045241741</v>
      </c>
    </row>
    <row r="54" customFormat="false" ht="15" hidden="false" customHeight="false" outlineLevel="0" collapsed="false">
      <c r="A54" s="0" t="s">
        <v>96</v>
      </c>
      <c r="C54" s="22" t="n">
        <f aca="false">IF(C53=0,"n/a",($C$16*C53-C52)/C53)</f>
        <v>137913.324016321</v>
      </c>
    </row>
    <row r="55" customFormat="false" ht="15" hidden="false" customHeight="false" outlineLevel="0" collapsed="false">
      <c r="A55" s="0" t="s">
        <v>97</v>
      </c>
      <c r="C55" s="22" t="n">
        <f aca="false">IF(C53=0,"n/a",C52+(C54-$C$16)*C53)</f>
        <v>0</v>
      </c>
    </row>
    <row r="56" customFormat="false" ht="15" hidden="false" customHeight="false" outlineLevel="0" collapsed="false">
      <c r="A56" s="0" t="s">
        <v>98</v>
      </c>
      <c r="C56" s="22" t="n">
        <f aca="false">INDEX(J29:J48,$C$9)</f>
        <v>-262581.473437072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2026-09-09T18:36:26Z</dcterms:created>
  <dc:creator>openpyxl</dc:creator>
  <dc:description/>
  <dc:language>en-US</dc:language>
  <cp:lastModifiedBy/>
  <dcterms:modified xsi:type="dcterms:W3CDTF">2026-09-09T18:36:26Z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