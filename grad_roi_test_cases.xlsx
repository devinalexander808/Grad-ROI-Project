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vin\Grad-ROI-Project\"/>
    </mc:Choice>
  </mc:AlternateContent>
  <xr:revisionPtr revIDLastSave="0" documentId="13_ncr:1_{CB2FEC9B-07B6-4149-B2C2-E79B07C8595F}" xr6:coauthVersionLast="47" xr6:coauthVersionMax="47" xr10:uidLastSave="{00000000-0000-0000-0000-000000000000}"/>
  <bookViews>
    <workbookView xWindow="1630" yWindow="3390" windowWidth="16800" windowHeight="9670" tabRatio="500" xr2:uid="{00000000-000D-0000-FFFF-FFFF00000000}"/>
  </bookViews>
  <sheets>
    <sheet name="README" sheetId="1" r:id="rId1"/>
    <sheet name="Summary" sheetId="2" r:id="rId2"/>
    <sheet name="Build4_StudyScenarios" sheetId="3" r:id="rId3"/>
    <sheet name="Case1_CheapBigJump" sheetId="4" r:id="rId4"/>
    <sheet name="Case2_ExpensiveSmallJump" sheetId="5" r:id="rId5"/>
    <sheet name="Case3_MSBA_Fractional" sheetId="6" r:id="rId6"/>
    <sheet name="Case4_NoLoans" sheetId="7" r:id="rId7"/>
    <sheet name="Case5_NeverPaysOff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8" l="1"/>
  <c r="G48" i="8"/>
  <c r="F48" i="8"/>
  <c r="C48" i="8"/>
  <c r="B48" i="8"/>
  <c r="N48" i="8" s="1"/>
  <c r="K47" i="8"/>
  <c r="G47" i="8"/>
  <c r="F47" i="8"/>
  <c r="D47" i="8"/>
  <c r="C47" i="8"/>
  <c r="B47" i="8"/>
  <c r="N47" i="8" s="1"/>
  <c r="K46" i="8"/>
  <c r="G46" i="8"/>
  <c r="F46" i="8"/>
  <c r="D46" i="8"/>
  <c r="C46" i="8"/>
  <c r="B46" i="8"/>
  <c r="N46" i="8" s="1"/>
  <c r="K45" i="8"/>
  <c r="G45" i="8"/>
  <c r="F45" i="8"/>
  <c r="D45" i="8"/>
  <c r="C45" i="8"/>
  <c r="B45" i="8"/>
  <c r="N45" i="8" s="1"/>
  <c r="K44" i="8"/>
  <c r="G44" i="8"/>
  <c r="F44" i="8"/>
  <c r="D44" i="8"/>
  <c r="C44" i="8"/>
  <c r="B44" i="8"/>
  <c r="N44" i="8" s="1"/>
  <c r="K43" i="8"/>
  <c r="G43" i="8"/>
  <c r="F43" i="8"/>
  <c r="D43" i="8"/>
  <c r="C43" i="8"/>
  <c r="B43" i="8"/>
  <c r="N43" i="8" s="1"/>
  <c r="K42" i="8"/>
  <c r="G42" i="8"/>
  <c r="F42" i="8"/>
  <c r="D42" i="8"/>
  <c r="C42" i="8"/>
  <c r="B42" i="8"/>
  <c r="N42" i="8" s="1"/>
  <c r="K41" i="8"/>
  <c r="G41" i="8"/>
  <c r="F41" i="8"/>
  <c r="D41" i="8"/>
  <c r="C41" i="8"/>
  <c r="B41" i="8"/>
  <c r="N41" i="8" s="1"/>
  <c r="K40" i="8"/>
  <c r="G40" i="8"/>
  <c r="F40" i="8"/>
  <c r="C40" i="8"/>
  <c r="B40" i="8"/>
  <c r="N40" i="8" s="1"/>
  <c r="K39" i="8"/>
  <c r="G39" i="8"/>
  <c r="F39" i="8"/>
  <c r="C39" i="8"/>
  <c r="B39" i="8"/>
  <c r="K38" i="8"/>
  <c r="G38" i="8"/>
  <c r="F38" i="8"/>
  <c r="D38" i="8"/>
  <c r="C38" i="8"/>
  <c r="B38" i="8"/>
  <c r="K37" i="8"/>
  <c r="G37" i="8"/>
  <c r="F37" i="8"/>
  <c r="D37" i="8"/>
  <c r="C37" i="8"/>
  <c r="B37" i="8"/>
  <c r="K36" i="8"/>
  <c r="G36" i="8"/>
  <c r="F36" i="8"/>
  <c r="D36" i="8"/>
  <c r="C36" i="8"/>
  <c r="B36" i="8"/>
  <c r="K35" i="8"/>
  <c r="G35" i="8"/>
  <c r="F35" i="8"/>
  <c r="D35" i="8"/>
  <c r="C35" i="8"/>
  <c r="B35" i="8"/>
  <c r="K34" i="8"/>
  <c r="G34" i="8"/>
  <c r="F34" i="8"/>
  <c r="D34" i="8"/>
  <c r="C34" i="8"/>
  <c r="B34" i="8"/>
  <c r="K33" i="8"/>
  <c r="G33" i="8"/>
  <c r="F33" i="8"/>
  <c r="D33" i="8"/>
  <c r="C33" i="8"/>
  <c r="B33" i="8"/>
  <c r="K32" i="8"/>
  <c r="G32" i="8"/>
  <c r="F32" i="8"/>
  <c r="D32" i="8"/>
  <c r="C32" i="8"/>
  <c r="B32" i="8"/>
  <c r="K31" i="8"/>
  <c r="G31" i="8"/>
  <c r="F31" i="8"/>
  <c r="C31" i="8"/>
  <c r="B31" i="8"/>
  <c r="K30" i="8"/>
  <c r="G30" i="8"/>
  <c r="F30" i="8"/>
  <c r="C30" i="8"/>
  <c r="B30" i="8"/>
  <c r="K29" i="8"/>
  <c r="G29" i="8"/>
  <c r="F29" i="8"/>
  <c r="C29" i="8"/>
  <c r="B29" i="8"/>
  <c r="C26" i="8"/>
  <c r="C24" i="8"/>
  <c r="C23" i="8"/>
  <c r="K48" i="7"/>
  <c r="G48" i="7"/>
  <c r="F48" i="7"/>
  <c r="C48" i="7"/>
  <c r="B48" i="7"/>
  <c r="N48" i="7" s="1"/>
  <c r="K47" i="7"/>
  <c r="G47" i="7"/>
  <c r="F47" i="7"/>
  <c r="C47" i="7"/>
  <c r="B47" i="7"/>
  <c r="N47" i="7" s="1"/>
  <c r="K46" i="7"/>
  <c r="G46" i="7"/>
  <c r="F46" i="7"/>
  <c r="C46" i="7"/>
  <c r="B46" i="7"/>
  <c r="N46" i="7" s="1"/>
  <c r="K45" i="7"/>
  <c r="G45" i="7"/>
  <c r="F45" i="7"/>
  <c r="C45" i="7"/>
  <c r="B45" i="7"/>
  <c r="N45" i="7" s="1"/>
  <c r="K44" i="7"/>
  <c r="G44" i="7"/>
  <c r="F44" i="7"/>
  <c r="C44" i="7"/>
  <c r="B44" i="7"/>
  <c r="N44" i="7" s="1"/>
  <c r="K43" i="7"/>
  <c r="G43" i="7"/>
  <c r="F43" i="7"/>
  <c r="C43" i="7"/>
  <c r="B43" i="7"/>
  <c r="K42" i="7"/>
  <c r="G42" i="7"/>
  <c r="F42" i="7"/>
  <c r="C42" i="7"/>
  <c r="B42" i="7"/>
  <c r="N42" i="7" s="1"/>
  <c r="K41" i="7"/>
  <c r="G41" i="7"/>
  <c r="F41" i="7"/>
  <c r="C41" i="7"/>
  <c r="B41" i="7"/>
  <c r="K40" i="7"/>
  <c r="G40" i="7"/>
  <c r="F40" i="7"/>
  <c r="C40" i="7"/>
  <c r="B40" i="7"/>
  <c r="N40" i="7" s="1"/>
  <c r="K39" i="7"/>
  <c r="G39" i="7"/>
  <c r="F39" i="7"/>
  <c r="C39" i="7"/>
  <c r="B39" i="7"/>
  <c r="N39" i="7" s="1"/>
  <c r="K38" i="7"/>
  <c r="G38" i="7"/>
  <c r="F38" i="7"/>
  <c r="C38" i="7"/>
  <c r="B38" i="7"/>
  <c r="K37" i="7"/>
  <c r="G37" i="7"/>
  <c r="F37" i="7"/>
  <c r="C37" i="7"/>
  <c r="B37" i="7"/>
  <c r="K36" i="7"/>
  <c r="G36" i="7"/>
  <c r="F36" i="7"/>
  <c r="C36" i="7"/>
  <c r="B36" i="7"/>
  <c r="K35" i="7"/>
  <c r="G35" i="7"/>
  <c r="F35" i="7"/>
  <c r="C35" i="7"/>
  <c r="B35" i="7"/>
  <c r="K34" i="7"/>
  <c r="G34" i="7"/>
  <c r="F34" i="7"/>
  <c r="C34" i="7"/>
  <c r="B34" i="7"/>
  <c r="K33" i="7"/>
  <c r="G33" i="7"/>
  <c r="F33" i="7"/>
  <c r="C33" i="7"/>
  <c r="B33" i="7"/>
  <c r="K32" i="7"/>
  <c r="G32" i="7"/>
  <c r="F32" i="7"/>
  <c r="C32" i="7"/>
  <c r="B32" i="7"/>
  <c r="K31" i="7"/>
  <c r="G31" i="7"/>
  <c r="F31" i="7"/>
  <c r="C31" i="7"/>
  <c r="B31" i="7"/>
  <c r="K30" i="7"/>
  <c r="G30" i="7"/>
  <c r="F30" i="7"/>
  <c r="C30" i="7"/>
  <c r="B30" i="7"/>
  <c r="K29" i="7"/>
  <c r="G29" i="7"/>
  <c r="F29" i="7"/>
  <c r="C29" i="7"/>
  <c r="B29" i="7"/>
  <c r="C26" i="7"/>
  <c r="C24" i="7"/>
  <c r="C23" i="7"/>
  <c r="K48" i="6"/>
  <c r="G48" i="6"/>
  <c r="F48" i="6"/>
  <c r="C48" i="6"/>
  <c r="B48" i="6"/>
  <c r="N48" i="6" s="1"/>
  <c r="K47" i="6"/>
  <c r="G47" i="6"/>
  <c r="F47" i="6"/>
  <c r="C47" i="6"/>
  <c r="B47" i="6"/>
  <c r="N47" i="6" s="1"/>
  <c r="K46" i="6"/>
  <c r="G46" i="6"/>
  <c r="F46" i="6"/>
  <c r="C46" i="6"/>
  <c r="B46" i="6"/>
  <c r="N46" i="6" s="1"/>
  <c r="K45" i="6"/>
  <c r="G45" i="6"/>
  <c r="F45" i="6"/>
  <c r="C45" i="6"/>
  <c r="B45" i="6"/>
  <c r="N45" i="6" s="1"/>
  <c r="K44" i="6"/>
  <c r="G44" i="6"/>
  <c r="F44" i="6"/>
  <c r="C44" i="6"/>
  <c r="B44" i="6"/>
  <c r="N44" i="6" s="1"/>
  <c r="K43" i="6"/>
  <c r="G43" i="6"/>
  <c r="F43" i="6"/>
  <c r="C43" i="6"/>
  <c r="B43" i="6"/>
  <c r="N43" i="6" s="1"/>
  <c r="K42" i="6"/>
  <c r="G42" i="6"/>
  <c r="F42" i="6"/>
  <c r="C42" i="6"/>
  <c r="B42" i="6"/>
  <c r="N42" i="6" s="1"/>
  <c r="K41" i="6"/>
  <c r="G41" i="6"/>
  <c r="F41" i="6"/>
  <c r="C41" i="6"/>
  <c r="B41" i="6"/>
  <c r="N41" i="6" s="1"/>
  <c r="K40" i="6"/>
  <c r="G40" i="6"/>
  <c r="F40" i="6"/>
  <c r="C40" i="6"/>
  <c r="B40" i="6"/>
  <c r="N40" i="6" s="1"/>
  <c r="K39" i="6"/>
  <c r="G39" i="6"/>
  <c r="F39" i="6"/>
  <c r="C39" i="6"/>
  <c r="B39" i="6"/>
  <c r="N39" i="6" s="1"/>
  <c r="K38" i="6"/>
  <c r="G38" i="6"/>
  <c r="F38" i="6"/>
  <c r="C38" i="6"/>
  <c r="B38" i="6"/>
  <c r="K37" i="6"/>
  <c r="G37" i="6"/>
  <c r="F37" i="6"/>
  <c r="C37" i="6"/>
  <c r="B37" i="6"/>
  <c r="K36" i="6"/>
  <c r="G36" i="6"/>
  <c r="F36" i="6"/>
  <c r="C36" i="6"/>
  <c r="B36" i="6"/>
  <c r="K35" i="6"/>
  <c r="G35" i="6"/>
  <c r="F35" i="6"/>
  <c r="C35" i="6"/>
  <c r="B35" i="6"/>
  <c r="K34" i="6"/>
  <c r="G34" i="6"/>
  <c r="F34" i="6"/>
  <c r="C34" i="6"/>
  <c r="B34" i="6"/>
  <c r="K33" i="6"/>
  <c r="G33" i="6"/>
  <c r="F33" i="6"/>
  <c r="C33" i="6"/>
  <c r="B33" i="6"/>
  <c r="K32" i="6"/>
  <c r="G32" i="6"/>
  <c r="F32" i="6"/>
  <c r="C32" i="6"/>
  <c r="B32" i="6"/>
  <c r="K31" i="6"/>
  <c r="G31" i="6"/>
  <c r="F31" i="6"/>
  <c r="C31" i="6"/>
  <c r="B31" i="6"/>
  <c r="K30" i="6"/>
  <c r="G30" i="6"/>
  <c r="F30" i="6"/>
  <c r="C30" i="6"/>
  <c r="B30" i="6"/>
  <c r="K29" i="6"/>
  <c r="G29" i="6"/>
  <c r="F29" i="6"/>
  <c r="C29" i="6"/>
  <c r="B29" i="6"/>
  <c r="C26" i="6"/>
  <c r="C24" i="6"/>
  <c r="C23" i="6"/>
  <c r="K48" i="5"/>
  <c r="G48" i="5"/>
  <c r="F48" i="5"/>
  <c r="D48" i="5"/>
  <c r="C48" i="5"/>
  <c r="B48" i="5"/>
  <c r="N48" i="5" s="1"/>
  <c r="K47" i="5"/>
  <c r="G47" i="5"/>
  <c r="F47" i="5"/>
  <c r="D47" i="5"/>
  <c r="C47" i="5"/>
  <c r="B47" i="5"/>
  <c r="N47" i="5" s="1"/>
  <c r="K46" i="5"/>
  <c r="G46" i="5"/>
  <c r="F46" i="5"/>
  <c r="C46" i="5"/>
  <c r="B46" i="5"/>
  <c r="K45" i="5"/>
  <c r="G45" i="5"/>
  <c r="F45" i="5"/>
  <c r="C45" i="5"/>
  <c r="B45" i="5"/>
  <c r="K44" i="5"/>
  <c r="G44" i="5"/>
  <c r="F44" i="5"/>
  <c r="C44" i="5"/>
  <c r="B44" i="5"/>
  <c r="K43" i="5"/>
  <c r="G43" i="5"/>
  <c r="F43" i="5"/>
  <c r="C43" i="5"/>
  <c r="B43" i="5"/>
  <c r="K42" i="5"/>
  <c r="G42" i="5"/>
  <c r="F42" i="5"/>
  <c r="C42" i="5"/>
  <c r="B42" i="5"/>
  <c r="K41" i="5"/>
  <c r="G41" i="5"/>
  <c r="F41" i="5"/>
  <c r="C41" i="5"/>
  <c r="B41" i="5"/>
  <c r="K40" i="5"/>
  <c r="G40" i="5"/>
  <c r="F40" i="5"/>
  <c r="C40" i="5"/>
  <c r="B40" i="5"/>
  <c r="N40" i="5" s="1"/>
  <c r="K39" i="5"/>
  <c r="G39" i="5"/>
  <c r="F39" i="5"/>
  <c r="C39" i="5"/>
  <c r="B39" i="5"/>
  <c r="N39" i="5" s="1"/>
  <c r="K38" i="5"/>
  <c r="G38" i="5"/>
  <c r="F38" i="5"/>
  <c r="C38" i="5"/>
  <c r="B38" i="5"/>
  <c r="K37" i="5"/>
  <c r="G37" i="5"/>
  <c r="F37" i="5"/>
  <c r="C37" i="5"/>
  <c r="B37" i="5"/>
  <c r="K36" i="5"/>
  <c r="G36" i="5"/>
  <c r="F36" i="5"/>
  <c r="C36" i="5"/>
  <c r="B36" i="5"/>
  <c r="K35" i="5"/>
  <c r="G35" i="5"/>
  <c r="F35" i="5"/>
  <c r="C35" i="5"/>
  <c r="B35" i="5"/>
  <c r="K34" i="5"/>
  <c r="G34" i="5"/>
  <c r="F34" i="5"/>
  <c r="C34" i="5"/>
  <c r="B34" i="5"/>
  <c r="K33" i="5"/>
  <c r="G33" i="5"/>
  <c r="F33" i="5"/>
  <c r="C33" i="5"/>
  <c r="B33" i="5"/>
  <c r="K32" i="5"/>
  <c r="G32" i="5"/>
  <c r="F32" i="5"/>
  <c r="C32" i="5"/>
  <c r="B32" i="5"/>
  <c r="K31" i="5"/>
  <c r="G31" i="5"/>
  <c r="F31" i="5"/>
  <c r="C31" i="5"/>
  <c r="B31" i="5"/>
  <c r="K30" i="5"/>
  <c r="G30" i="5"/>
  <c r="F30" i="5"/>
  <c r="C30" i="5"/>
  <c r="B30" i="5"/>
  <c r="K29" i="5"/>
  <c r="G29" i="5"/>
  <c r="F29" i="5"/>
  <c r="C29" i="5"/>
  <c r="B29" i="5"/>
  <c r="C26" i="5"/>
  <c r="C24" i="5"/>
  <c r="C23" i="5"/>
  <c r="K48" i="4"/>
  <c r="G48" i="4"/>
  <c r="F48" i="4"/>
  <c r="C48" i="4"/>
  <c r="B48" i="4"/>
  <c r="N48" i="4" s="1"/>
  <c r="K47" i="4"/>
  <c r="G47" i="4"/>
  <c r="F47" i="4"/>
  <c r="C47" i="4"/>
  <c r="B47" i="4"/>
  <c r="N47" i="4" s="1"/>
  <c r="K46" i="4"/>
  <c r="G46" i="4"/>
  <c r="F46" i="4"/>
  <c r="C46" i="4"/>
  <c r="B46" i="4"/>
  <c r="K45" i="4"/>
  <c r="G45" i="4"/>
  <c r="F45" i="4"/>
  <c r="C45" i="4"/>
  <c r="B45" i="4"/>
  <c r="K44" i="4"/>
  <c r="G44" i="4"/>
  <c r="F44" i="4"/>
  <c r="C44" i="4"/>
  <c r="B44" i="4"/>
  <c r="K43" i="4"/>
  <c r="G43" i="4"/>
  <c r="F43" i="4"/>
  <c r="C43" i="4"/>
  <c r="B43" i="4"/>
  <c r="K42" i="4"/>
  <c r="G42" i="4"/>
  <c r="F42" i="4"/>
  <c r="C42" i="4"/>
  <c r="B42" i="4"/>
  <c r="N42" i="4" s="1"/>
  <c r="K41" i="4"/>
  <c r="G41" i="4"/>
  <c r="F41" i="4"/>
  <c r="D41" i="4"/>
  <c r="C41" i="4"/>
  <c r="B41" i="4"/>
  <c r="N41" i="4" s="1"/>
  <c r="K40" i="4"/>
  <c r="G40" i="4"/>
  <c r="F40" i="4"/>
  <c r="D40" i="4"/>
  <c r="C40" i="4"/>
  <c r="B40" i="4"/>
  <c r="N40" i="4" s="1"/>
  <c r="K39" i="4"/>
  <c r="G39" i="4"/>
  <c r="F39" i="4"/>
  <c r="C39" i="4"/>
  <c r="B39" i="4"/>
  <c r="N39" i="4" s="1"/>
  <c r="K38" i="4"/>
  <c r="G38" i="4"/>
  <c r="F38" i="4"/>
  <c r="C38" i="4"/>
  <c r="B38" i="4"/>
  <c r="K37" i="4"/>
  <c r="G37" i="4"/>
  <c r="F37" i="4"/>
  <c r="C37" i="4"/>
  <c r="B37" i="4"/>
  <c r="K36" i="4"/>
  <c r="G36" i="4"/>
  <c r="F36" i="4"/>
  <c r="C36" i="4"/>
  <c r="B36" i="4"/>
  <c r="K35" i="4"/>
  <c r="G35" i="4"/>
  <c r="F35" i="4"/>
  <c r="C35" i="4"/>
  <c r="B35" i="4"/>
  <c r="K34" i="4"/>
  <c r="G34" i="4"/>
  <c r="F34" i="4"/>
  <c r="C34" i="4"/>
  <c r="B34" i="4"/>
  <c r="K33" i="4"/>
  <c r="G33" i="4"/>
  <c r="F33" i="4"/>
  <c r="C33" i="4"/>
  <c r="B33" i="4"/>
  <c r="K32" i="4"/>
  <c r="G32" i="4"/>
  <c r="F32" i="4"/>
  <c r="C32" i="4"/>
  <c r="B32" i="4"/>
  <c r="K31" i="4"/>
  <c r="G31" i="4"/>
  <c r="F31" i="4"/>
  <c r="C31" i="4"/>
  <c r="B31" i="4"/>
  <c r="K30" i="4"/>
  <c r="G30" i="4"/>
  <c r="F30" i="4"/>
  <c r="C30" i="4"/>
  <c r="B30" i="4"/>
  <c r="K29" i="4"/>
  <c r="G29" i="4"/>
  <c r="F29" i="4"/>
  <c r="C29" i="4"/>
  <c r="B29" i="4"/>
  <c r="C26" i="4"/>
  <c r="C24" i="4"/>
  <c r="C23" i="4"/>
  <c r="I40" i="3"/>
  <c r="J40" i="3" s="1"/>
  <c r="K40" i="3" s="1"/>
  <c r="L40" i="3" s="1"/>
  <c r="L35" i="3"/>
  <c r="J35" i="3"/>
  <c r="I35" i="3"/>
  <c r="H35" i="3"/>
  <c r="G35" i="3"/>
  <c r="L34" i="3"/>
  <c r="J34" i="3"/>
  <c r="I34" i="3"/>
  <c r="H34" i="3"/>
  <c r="G34" i="3"/>
  <c r="L33" i="3"/>
  <c r="J33" i="3"/>
  <c r="I33" i="3"/>
  <c r="H33" i="3"/>
  <c r="G33" i="3"/>
  <c r="L32" i="3"/>
  <c r="J32" i="3"/>
  <c r="I32" i="3"/>
  <c r="H32" i="3"/>
  <c r="G32" i="3"/>
  <c r="L31" i="3"/>
  <c r="J31" i="3"/>
  <c r="I31" i="3"/>
  <c r="H31" i="3"/>
  <c r="G31" i="3"/>
  <c r="I26" i="3"/>
  <c r="H26" i="3"/>
  <c r="J26" i="3" s="1"/>
  <c r="I25" i="3"/>
  <c r="H25" i="3"/>
  <c r="J25" i="3" s="1"/>
  <c r="I24" i="3"/>
  <c r="H24" i="3"/>
  <c r="J24" i="3" s="1"/>
  <c r="I23" i="3"/>
  <c r="H23" i="3"/>
  <c r="J23" i="3" s="1"/>
  <c r="I22" i="3"/>
  <c r="H22" i="3"/>
  <c r="J22" i="3" s="1"/>
  <c r="I21" i="3"/>
  <c r="H21" i="3"/>
  <c r="J21" i="3" s="1"/>
  <c r="I20" i="3"/>
  <c r="H20" i="3"/>
  <c r="J20" i="3" s="1"/>
  <c r="H7" i="3"/>
  <c r="H6" i="3"/>
  <c r="E6" i="2"/>
  <c r="E5" i="2"/>
  <c r="E4" i="2"/>
  <c r="E3" i="2"/>
  <c r="E2" i="2"/>
  <c r="N39" i="8" l="1"/>
  <c r="N43" i="7"/>
  <c r="N41" i="7"/>
  <c r="N46" i="5"/>
  <c r="N45" i="5"/>
  <c r="N44" i="5"/>
  <c r="N43" i="5"/>
  <c r="N42" i="5"/>
  <c r="N41" i="5"/>
  <c r="N46" i="4"/>
  <c r="N45" i="4"/>
  <c r="N44" i="4"/>
  <c r="N43" i="4"/>
  <c r="D48" i="8"/>
  <c r="D39" i="8"/>
  <c r="D31" i="8"/>
  <c r="D44" i="7"/>
  <c r="D38" i="7"/>
  <c r="D37" i="7"/>
  <c r="D45" i="7"/>
  <c r="D36" i="7"/>
  <c r="D35" i="7"/>
  <c r="D34" i="7"/>
  <c r="D43" i="7"/>
  <c r="D48" i="7"/>
  <c r="D47" i="7"/>
  <c r="D46" i="7"/>
  <c r="D48" i="6"/>
  <c r="D45" i="6"/>
  <c r="D40" i="6"/>
  <c r="D37" i="6"/>
  <c r="D46" i="6"/>
  <c r="D38" i="6"/>
  <c r="D36" i="6"/>
  <c r="D47" i="6"/>
  <c r="D39" i="6"/>
  <c r="D48" i="4"/>
  <c r="D47" i="4"/>
  <c r="D46" i="4"/>
  <c r="D45" i="4"/>
  <c r="D44" i="4"/>
  <c r="D43" i="4"/>
  <c r="D42" i="4"/>
  <c r="D32" i="4"/>
  <c r="D31" i="4"/>
  <c r="C25" i="8"/>
  <c r="D40" i="8"/>
  <c r="D30" i="8"/>
  <c r="D29" i="8"/>
  <c r="D42" i="7"/>
  <c r="D41" i="7"/>
  <c r="D33" i="7"/>
  <c r="D32" i="7"/>
  <c r="D31" i="7"/>
  <c r="D30" i="7"/>
  <c r="D29" i="7"/>
  <c r="C25" i="7"/>
  <c r="D39" i="7"/>
  <c r="D40" i="7"/>
  <c r="D44" i="6"/>
  <c r="D30" i="6"/>
  <c r="D43" i="6"/>
  <c r="D42" i="6"/>
  <c r="D29" i="6"/>
  <c r="C25" i="6"/>
  <c r="D41" i="6"/>
  <c r="D35" i="6"/>
  <c r="D34" i="6"/>
  <c r="D33" i="6"/>
  <c r="D32" i="6"/>
  <c r="D31" i="6"/>
  <c r="D38" i="5"/>
  <c r="D35" i="5"/>
  <c r="D32" i="5"/>
  <c r="D39" i="5"/>
  <c r="D34" i="5"/>
  <c r="D31" i="5"/>
  <c r="D40" i="5"/>
  <c r="D37" i="5"/>
  <c r="D30" i="5"/>
  <c r="D41" i="5"/>
  <c r="D36" i="5"/>
  <c r="D29" i="5"/>
  <c r="D42" i="5"/>
  <c r="D46" i="5"/>
  <c r="D43" i="5"/>
  <c r="D44" i="5"/>
  <c r="C25" i="5"/>
  <c r="D45" i="5"/>
  <c r="D33" i="5"/>
  <c r="D39" i="4"/>
  <c r="D38" i="4"/>
  <c r="D37" i="4"/>
  <c r="D33" i="4"/>
  <c r="D30" i="4"/>
  <c r="D29" i="4"/>
  <c r="C25" i="4"/>
  <c r="D34" i="4"/>
  <c r="D35" i="4"/>
  <c r="D36" i="4"/>
  <c r="K26" i="3"/>
  <c r="L26" i="3" s="1"/>
  <c r="K25" i="3"/>
  <c r="L25" i="3"/>
  <c r="K24" i="3"/>
  <c r="L24" i="3"/>
  <c r="K23" i="3"/>
  <c r="L23" i="3"/>
  <c r="K22" i="3"/>
  <c r="L22" i="3" s="1"/>
  <c r="K21" i="3"/>
  <c r="L21" i="3"/>
  <c r="K20" i="3"/>
  <c r="L20" i="3"/>
  <c r="E29" i="8" l="1"/>
  <c r="E30" i="8"/>
  <c r="E40" i="8"/>
  <c r="E41" i="8"/>
  <c r="E31" i="8"/>
  <c r="E32" i="8"/>
  <c r="E33" i="8"/>
  <c r="E34" i="8"/>
  <c r="E35" i="8"/>
  <c r="E36" i="8"/>
  <c r="E37" i="8"/>
  <c r="E38" i="8"/>
  <c r="E39" i="8"/>
  <c r="E43" i="8"/>
  <c r="E45" i="8"/>
  <c r="E47" i="8"/>
  <c r="E42" i="8"/>
  <c r="E44" i="8"/>
  <c r="E46" i="8"/>
  <c r="E48" i="8"/>
  <c r="E29" i="7"/>
  <c r="E30" i="7"/>
  <c r="E31" i="7"/>
  <c r="E32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33" i="7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8" i="5"/>
  <c r="E47" i="5"/>
  <c r="E29" i="4"/>
  <c r="E30" i="4"/>
  <c r="E31" i="4"/>
  <c r="E32" i="4"/>
  <c r="E33" i="4"/>
  <c r="E34" i="4"/>
  <c r="E35" i="4"/>
  <c r="E36" i="4"/>
  <c r="E37" i="4"/>
  <c r="E38" i="4"/>
  <c r="E39" i="4"/>
  <c r="E42" i="4"/>
  <c r="E44" i="4"/>
  <c r="E46" i="4"/>
  <c r="E47" i="4"/>
  <c r="E48" i="4"/>
  <c r="E40" i="4"/>
  <c r="E41" i="4"/>
  <c r="E43" i="4"/>
  <c r="E45" i="4"/>
  <c r="M26" i="3"/>
  <c r="M20" i="3"/>
  <c r="M22" i="3"/>
  <c r="M24" i="3"/>
  <c r="M23" i="3"/>
  <c r="M25" i="3"/>
  <c r="M21" i="3"/>
  <c r="H29" i="8" l="1"/>
  <c r="I29" i="8" s="1"/>
  <c r="M29" i="8"/>
  <c r="H30" i="8"/>
  <c r="I30" i="8" s="1"/>
  <c r="L30" i="8" s="1"/>
  <c r="M30" i="8"/>
  <c r="H40" i="8"/>
  <c r="I40" i="8" s="1"/>
  <c r="L40" i="8" s="1"/>
  <c r="M40" i="8"/>
  <c r="H41" i="8"/>
  <c r="I41" i="8" s="1"/>
  <c r="L41" i="8" s="1"/>
  <c r="M41" i="8"/>
  <c r="H31" i="8"/>
  <c r="I31" i="8" s="1"/>
  <c r="L31" i="8" s="1"/>
  <c r="M31" i="8"/>
  <c r="H32" i="8"/>
  <c r="I32" i="8" s="1"/>
  <c r="L32" i="8" s="1"/>
  <c r="M32" i="8"/>
  <c r="H33" i="8"/>
  <c r="I33" i="8" s="1"/>
  <c r="L33" i="8" s="1"/>
  <c r="M33" i="8"/>
  <c r="H34" i="8"/>
  <c r="I34" i="8" s="1"/>
  <c r="L34" i="8" s="1"/>
  <c r="M34" i="8"/>
  <c r="H35" i="8"/>
  <c r="I35" i="8" s="1"/>
  <c r="L35" i="8" s="1"/>
  <c r="M35" i="8"/>
  <c r="H36" i="8"/>
  <c r="I36" i="8" s="1"/>
  <c r="L36" i="8" s="1"/>
  <c r="M36" i="8"/>
  <c r="H37" i="8"/>
  <c r="I37" i="8" s="1"/>
  <c r="L37" i="8" s="1"/>
  <c r="M37" i="8"/>
  <c r="H38" i="8"/>
  <c r="I38" i="8" s="1"/>
  <c r="L38" i="8" s="1"/>
  <c r="M38" i="8"/>
  <c r="H39" i="8"/>
  <c r="I39" i="8" s="1"/>
  <c r="L39" i="8" s="1"/>
  <c r="M39" i="8"/>
  <c r="H43" i="8"/>
  <c r="I43" i="8" s="1"/>
  <c r="L43" i="8" s="1"/>
  <c r="M43" i="8"/>
  <c r="H45" i="8"/>
  <c r="I45" i="8" s="1"/>
  <c r="L45" i="8" s="1"/>
  <c r="M45" i="8"/>
  <c r="H47" i="8"/>
  <c r="I47" i="8" s="1"/>
  <c r="L47" i="8" s="1"/>
  <c r="M47" i="8"/>
  <c r="H42" i="8"/>
  <c r="I42" i="8" s="1"/>
  <c r="L42" i="8" s="1"/>
  <c r="M42" i="8"/>
  <c r="H44" i="8"/>
  <c r="I44" i="8" s="1"/>
  <c r="L44" i="8" s="1"/>
  <c r="M44" i="8"/>
  <c r="H46" i="8"/>
  <c r="I46" i="8" s="1"/>
  <c r="L46" i="8" s="1"/>
  <c r="M46" i="8"/>
  <c r="H48" i="8"/>
  <c r="I48" i="8" s="1"/>
  <c r="L48" i="8" s="1"/>
  <c r="M48" i="8"/>
  <c r="H29" i="7"/>
  <c r="I29" i="7" s="1"/>
  <c r="M29" i="7"/>
  <c r="H30" i="7"/>
  <c r="I30" i="7" s="1"/>
  <c r="L30" i="7" s="1"/>
  <c r="M30" i="7"/>
  <c r="H31" i="7"/>
  <c r="I31" i="7" s="1"/>
  <c r="L31" i="7" s="1"/>
  <c r="M31" i="7"/>
  <c r="H32" i="7"/>
  <c r="I32" i="7" s="1"/>
  <c r="L32" i="7" s="1"/>
  <c r="M32" i="7"/>
  <c r="H34" i="7"/>
  <c r="I34" i="7" s="1"/>
  <c r="L34" i="7" s="1"/>
  <c r="M34" i="7"/>
  <c r="H35" i="7"/>
  <c r="I35" i="7" s="1"/>
  <c r="L35" i="7" s="1"/>
  <c r="M35" i="7"/>
  <c r="H36" i="7"/>
  <c r="I36" i="7" s="1"/>
  <c r="L36" i="7" s="1"/>
  <c r="M36" i="7"/>
  <c r="H37" i="7"/>
  <c r="I37" i="7" s="1"/>
  <c r="L37" i="7" s="1"/>
  <c r="M37" i="7"/>
  <c r="H38" i="7"/>
  <c r="I38" i="7" s="1"/>
  <c r="L38" i="7" s="1"/>
  <c r="M38" i="7"/>
  <c r="H39" i="7"/>
  <c r="I39" i="7" s="1"/>
  <c r="L39" i="7" s="1"/>
  <c r="M39" i="7"/>
  <c r="H40" i="7"/>
  <c r="I40" i="7" s="1"/>
  <c r="L40" i="7" s="1"/>
  <c r="M40" i="7"/>
  <c r="H41" i="7"/>
  <c r="I41" i="7" s="1"/>
  <c r="L41" i="7" s="1"/>
  <c r="M41" i="7"/>
  <c r="H42" i="7"/>
  <c r="I42" i="7" s="1"/>
  <c r="L42" i="7" s="1"/>
  <c r="M42" i="7"/>
  <c r="H43" i="7"/>
  <c r="I43" i="7" s="1"/>
  <c r="L43" i="7" s="1"/>
  <c r="M43" i="7"/>
  <c r="H44" i="7"/>
  <c r="I44" i="7" s="1"/>
  <c r="L44" i="7" s="1"/>
  <c r="M44" i="7"/>
  <c r="H45" i="7"/>
  <c r="I45" i="7" s="1"/>
  <c r="L45" i="7" s="1"/>
  <c r="M45" i="7"/>
  <c r="H46" i="7"/>
  <c r="I46" i="7" s="1"/>
  <c r="L46" i="7" s="1"/>
  <c r="M46" i="7"/>
  <c r="H47" i="7"/>
  <c r="I47" i="7" s="1"/>
  <c r="L47" i="7" s="1"/>
  <c r="M47" i="7"/>
  <c r="H48" i="7"/>
  <c r="I48" i="7" s="1"/>
  <c r="L48" i="7" s="1"/>
  <c r="M48" i="7"/>
  <c r="H33" i="7"/>
  <c r="I33" i="7" s="1"/>
  <c r="L33" i="7" s="1"/>
  <c r="M33" i="7"/>
  <c r="H29" i="6"/>
  <c r="I29" i="6" s="1"/>
  <c r="M29" i="6"/>
  <c r="H30" i="6"/>
  <c r="I30" i="6" s="1"/>
  <c r="L30" i="6" s="1"/>
  <c r="M30" i="6"/>
  <c r="H31" i="6"/>
  <c r="I31" i="6" s="1"/>
  <c r="L31" i="6" s="1"/>
  <c r="M31" i="6"/>
  <c r="H32" i="6"/>
  <c r="I32" i="6" s="1"/>
  <c r="L32" i="6" s="1"/>
  <c r="M32" i="6"/>
  <c r="H33" i="6"/>
  <c r="I33" i="6" s="1"/>
  <c r="L33" i="6" s="1"/>
  <c r="M33" i="6"/>
  <c r="H34" i="6"/>
  <c r="I34" i="6" s="1"/>
  <c r="L34" i="6" s="1"/>
  <c r="M34" i="6"/>
  <c r="H35" i="6"/>
  <c r="I35" i="6" s="1"/>
  <c r="L35" i="6" s="1"/>
  <c r="M35" i="6"/>
  <c r="H36" i="6"/>
  <c r="I36" i="6" s="1"/>
  <c r="L36" i="6" s="1"/>
  <c r="M36" i="6"/>
  <c r="H37" i="6"/>
  <c r="I37" i="6" s="1"/>
  <c r="L37" i="6" s="1"/>
  <c r="M37" i="6"/>
  <c r="H38" i="6"/>
  <c r="I38" i="6" s="1"/>
  <c r="L38" i="6" s="1"/>
  <c r="M38" i="6"/>
  <c r="H39" i="6"/>
  <c r="I39" i="6" s="1"/>
  <c r="L39" i="6" s="1"/>
  <c r="M39" i="6"/>
  <c r="H40" i="6"/>
  <c r="I40" i="6" s="1"/>
  <c r="L40" i="6" s="1"/>
  <c r="M40" i="6"/>
  <c r="H41" i="6"/>
  <c r="I41" i="6" s="1"/>
  <c r="L41" i="6" s="1"/>
  <c r="M41" i="6"/>
  <c r="H42" i="6"/>
  <c r="I42" i="6" s="1"/>
  <c r="L42" i="6" s="1"/>
  <c r="M42" i="6"/>
  <c r="H43" i="6"/>
  <c r="I43" i="6" s="1"/>
  <c r="L43" i="6" s="1"/>
  <c r="M43" i="6"/>
  <c r="H44" i="6"/>
  <c r="I44" i="6" s="1"/>
  <c r="L44" i="6" s="1"/>
  <c r="M44" i="6"/>
  <c r="H45" i="6"/>
  <c r="I45" i="6" s="1"/>
  <c r="L45" i="6" s="1"/>
  <c r="M45" i="6"/>
  <c r="H46" i="6"/>
  <c r="I46" i="6" s="1"/>
  <c r="L46" i="6" s="1"/>
  <c r="M46" i="6"/>
  <c r="H47" i="6"/>
  <c r="I47" i="6" s="1"/>
  <c r="L47" i="6" s="1"/>
  <c r="M47" i="6"/>
  <c r="H48" i="6"/>
  <c r="I48" i="6" s="1"/>
  <c r="L48" i="6" s="1"/>
  <c r="M48" i="6"/>
  <c r="H29" i="5"/>
  <c r="I29" i="5" s="1"/>
  <c r="M29" i="5"/>
  <c r="H30" i="5"/>
  <c r="I30" i="5" s="1"/>
  <c r="L30" i="5" s="1"/>
  <c r="M30" i="5"/>
  <c r="H31" i="5"/>
  <c r="I31" i="5" s="1"/>
  <c r="L31" i="5" s="1"/>
  <c r="M31" i="5"/>
  <c r="H32" i="5"/>
  <c r="I32" i="5" s="1"/>
  <c r="L32" i="5" s="1"/>
  <c r="M32" i="5"/>
  <c r="H33" i="5"/>
  <c r="I33" i="5" s="1"/>
  <c r="L33" i="5" s="1"/>
  <c r="M33" i="5"/>
  <c r="H34" i="5"/>
  <c r="I34" i="5" s="1"/>
  <c r="L34" i="5" s="1"/>
  <c r="M34" i="5"/>
  <c r="H35" i="5"/>
  <c r="I35" i="5" s="1"/>
  <c r="L35" i="5" s="1"/>
  <c r="M35" i="5"/>
  <c r="H36" i="5"/>
  <c r="I36" i="5" s="1"/>
  <c r="L36" i="5" s="1"/>
  <c r="M36" i="5"/>
  <c r="H37" i="5"/>
  <c r="I37" i="5" s="1"/>
  <c r="L37" i="5" s="1"/>
  <c r="M37" i="5"/>
  <c r="H38" i="5"/>
  <c r="I38" i="5" s="1"/>
  <c r="L38" i="5" s="1"/>
  <c r="M38" i="5"/>
  <c r="H39" i="5"/>
  <c r="I39" i="5" s="1"/>
  <c r="L39" i="5" s="1"/>
  <c r="M39" i="5"/>
  <c r="H40" i="5"/>
  <c r="I40" i="5" s="1"/>
  <c r="L40" i="5" s="1"/>
  <c r="M40" i="5"/>
  <c r="H41" i="5"/>
  <c r="I41" i="5" s="1"/>
  <c r="L41" i="5" s="1"/>
  <c r="M41" i="5"/>
  <c r="H42" i="5"/>
  <c r="I42" i="5" s="1"/>
  <c r="L42" i="5" s="1"/>
  <c r="M42" i="5"/>
  <c r="H43" i="5"/>
  <c r="I43" i="5" s="1"/>
  <c r="L43" i="5" s="1"/>
  <c r="M43" i="5"/>
  <c r="H44" i="5"/>
  <c r="I44" i="5" s="1"/>
  <c r="L44" i="5" s="1"/>
  <c r="M44" i="5"/>
  <c r="H45" i="5"/>
  <c r="I45" i="5" s="1"/>
  <c r="L45" i="5" s="1"/>
  <c r="M45" i="5"/>
  <c r="H46" i="5"/>
  <c r="I46" i="5" s="1"/>
  <c r="L46" i="5" s="1"/>
  <c r="M46" i="5"/>
  <c r="H48" i="5"/>
  <c r="I48" i="5" s="1"/>
  <c r="L48" i="5" s="1"/>
  <c r="M48" i="5"/>
  <c r="H47" i="5"/>
  <c r="I47" i="5" s="1"/>
  <c r="L47" i="5" s="1"/>
  <c r="M47" i="5"/>
  <c r="H29" i="4"/>
  <c r="I29" i="4" s="1"/>
  <c r="M29" i="4"/>
  <c r="H30" i="4"/>
  <c r="I30" i="4" s="1"/>
  <c r="L30" i="4" s="1"/>
  <c r="M30" i="4"/>
  <c r="H31" i="4"/>
  <c r="I31" i="4" s="1"/>
  <c r="L31" i="4" s="1"/>
  <c r="M31" i="4"/>
  <c r="H32" i="4"/>
  <c r="I32" i="4" s="1"/>
  <c r="L32" i="4" s="1"/>
  <c r="M32" i="4"/>
  <c r="H33" i="4"/>
  <c r="I33" i="4" s="1"/>
  <c r="L33" i="4" s="1"/>
  <c r="M33" i="4"/>
  <c r="H34" i="4"/>
  <c r="I34" i="4" s="1"/>
  <c r="L34" i="4" s="1"/>
  <c r="M34" i="4"/>
  <c r="H35" i="4"/>
  <c r="I35" i="4" s="1"/>
  <c r="L35" i="4" s="1"/>
  <c r="M35" i="4"/>
  <c r="H36" i="4"/>
  <c r="I36" i="4" s="1"/>
  <c r="L36" i="4" s="1"/>
  <c r="M36" i="4"/>
  <c r="H37" i="4"/>
  <c r="I37" i="4" s="1"/>
  <c r="L37" i="4" s="1"/>
  <c r="M37" i="4"/>
  <c r="H38" i="4"/>
  <c r="I38" i="4" s="1"/>
  <c r="L38" i="4" s="1"/>
  <c r="M38" i="4"/>
  <c r="H39" i="4"/>
  <c r="I39" i="4" s="1"/>
  <c r="L39" i="4" s="1"/>
  <c r="M39" i="4"/>
  <c r="H42" i="4"/>
  <c r="I42" i="4" s="1"/>
  <c r="L42" i="4" s="1"/>
  <c r="M42" i="4"/>
  <c r="H44" i="4"/>
  <c r="I44" i="4" s="1"/>
  <c r="L44" i="4" s="1"/>
  <c r="M44" i="4"/>
  <c r="H46" i="4"/>
  <c r="I46" i="4" s="1"/>
  <c r="L46" i="4" s="1"/>
  <c r="M46" i="4"/>
  <c r="H47" i="4"/>
  <c r="I47" i="4" s="1"/>
  <c r="L47" i="4" s="1"/>
  <c r="M47" i="4"/>
  <c r="H48" i="4"/>
  <c r="I48" i="4" s="1"/>
  <c r="L48" i="4" s="1"/>
  <c r="M48" i="4"/>
  <c r="H40" i="4"/>
  <c r="I40" i="4" s="1"/>
  <c r="L40" i="4" s="1"/>
  <c r="M40" i="4"/>
  <c r="H41" i="4"/>
  <c r="I41" i="4" s="1"/>
  <c r="L41" i="4" s="1"/>
  <c r="M41" i="4"/>
  <c r="H43" i="4"/>
  <c r="I43" i="4" s="1"/>
  <c r="L43" i="4" s="1"/>
  <c r="M43" i="4"/>
  <c r="H45" i="4"/>
  <c r="I45" i="4" s="1"/>
  <c r="L45" i="4" s="1"/>
  <c r="M45" i="4"/>
  <c r="L29" i="8" l="1"/>
  <c r="C52" i="8" s="1"/>
  <c r="C6" i="2" s="1"/>
  <c r="J29" i="8"/>
  <c r="L29" i="7"/>
  <c r="C52" i="7" s="1"/>
  <c r="C5" i="2" s="1"/>
  <c r="J29" i="7"/>
  <c r="L29" i="6"/>
  <c r="C52" i="6" s="1"/>
  <c r="C4" i="2" s="1"/>
  <c r="J29" i="6"/>
  <c r="L29" i="5"/>
  <c r="C52" i="5" s="1"/>
  <c r="C3" i="2" s="1"/>
  <c r="J29" i="5"/>
  <c r="L29" i="4"/>
  <c r="C52" i="4" s="1"/>
  <c r="C2" i="2" s="1"/>
  <c r="J29" i="4"/>
  <c r="C53" i="8"/>
  <c r="C53" i="7"/>
  <c r="C53" i="6"/>
  <c r="C53" i="5"/>
  <c r="C53" i="4"/>
  <c r="J30" i="8" l="1"/>
  <c r="J30" i="7"/>
  <c r="J30" i="6"/>
  <c r="J30" i="5"/>
  <c r="J30" i="4"/>
  <c r="C54" i="8"/>
  <c r="C54" i="7"/>
  <c r="C54" i="6"/>
  <c r="C54" i="5"/>
  <c r="C54" i="4"/>
  <c r="J31" i="8" l="1"/>
  <c r="J31" i="7"/>
  <c r="J31" i="6"/>
  <c r="J31" i="5"/>
  <c r="J31" i="4"/>
  <c r="D6" i="2"/>
  <c r="C55" i="8"/>
  <c r="D5" i="2"/>
  <c r="C55" i="7"/>
  <c r="D4" i="2"/>
  <c r="C55" i="6"/>
  <c r="D3" i="2"/>
  <c r="C55" i="5"/>
  <c r="D2" i="2"/>
  <c r="C55" i="4"/>
  <c r="J32" i="8" l="1"/>
  <c r="J32" i="7"/>
  <c r="J32" i="6"/>
  <c r="J32" i="5"/>
  <c r="J32" i="4"/>
  <c r="J33" i="8" l="1"/>
  <c r="J33" i="7"/>
  <c r="J33" i="6"/>
  <c r="J33" i="5"/>
  <c r="J33" i="4"/>
  <c r="J34" i="8" l="1"/>
  <c r="J34" i="7"/>
  <c r="J34" i="6"/>
  <c r="J34" i="5"/>
  <c r="J34" i="4"/>
  <c r="J35" i="8" l="1"/>
  <c r="J35" i="7"/>
  <c r="J35" i="6"/>
  <c r="J35" i="5"/>
  <c r="J35" i="4"/>
  <c r="J36" i="8" l="1"/>
  <c r="J36" i="7"/>
  <c r="J36" i="6"/>
  <c r="J36" i="5"/>
  <c r="J36" i="4"/>
  <c r="J37" i="8" l="1"/>
  <c r="J37" i="7"/>
  <c r="J37" i="6"/>
  <c r="J37" i="5"/>
  <c r="J37" i="4"/>
  <c r="J38" i="8" l="1"/>
  <c r="J38" i="7"/>
  <c r="N37" i="7" s="1"/>
  <c r="N33" i="6"/>
  <c r="J38" i="6"/>
  <c r="N37" i="6" s="1"/>
  <c r="J38" i="5"/>
  <c r="N33" i="4"/>
  <c r="N37" i="4"/>
  <c r="J38" i="4"/>
  <c r="N36" i="4"/>
  <c r="N35" i="4"/>
  <c r="N35" i="8" l="1"/>
  <c r="N38" i="8"/>
  <c r="J39" i="8"/>
  <c r="J40" i="8" s="1"/>
  <c r="J41" i="8" s="1"/>
  <c r="J42" i="8" s="1"/>
  <c r="J43" i="8" s="1"/>
  <c r="J44" i="8" s="1"/>
  <c r="J45" i="8" s="1"/>
  <c r="J46" i="8" s="1"/>
  <c r="J47" i="8" s="1"/>
  <c r="J48" i="8" s="1"/>
  <c r="C56" i="8"/>
  <c r="N36" i="7"/>
  <c r="N35" i="7"/>
  <c r="N38" i="7"/>
  <c r="J39" i="7"/>
  <c r="J40" i="7" s="1"/>
  <c r="J41" i="7" s="1"/>
  <c r="J42" i="7" s="1"/>
  <c r="J43" i="7" s="1"/>
  <c r="J44" i="7" s="1"/>
  <c r="J45" i="7" s="1"/>
  <c r="J46" i="7" s="1"/>
  <c r="J47" i="7" s="1"/>
  <c r="J48" i="7" s="1"/>
  <c r="C56" i="7"/>
  <c r="N38" i="6"/>
  <c r="J39" i="6"/>
  <c r="J40" i="6" s="1"/>
  <c r="J41" i="6" s="1"/>
  <c r="J42" i="6" s="1"/>
  <c r="J43" i="6" s="1"/>
  <c r="J44" i="6" s="1"/>
  <c r="J45" i="6" s="1"/>
  <c r="J46" i="6" s="1"/>
  <c r="J47" i="6" s="1"/>
  <c r="J48" i="6" s="1"/>
  <c r="C56" i="6"/>
  <c r="N38" i="5"/>
  <c r="J39" i="5"/>
  <c r="J40" i="5" s="1"/>
  <c r="J41" i="5" s="1"/>
  <c r="J42" i="5" s="1"/>
  <c r="J43" i="5" s="1"/>
  <c r="J44" i="5" s="1"/>
  <c r="J45" i="5" s="1"/>
  <c r="J46" i="5" s="1"/>
  <c r="J47" i="5" s="1"/>
  <c r="J48" i="5" s="1"/>
  <c r="C56" i="5"/>
  <c r="N38" i="4"/>
  <c r="J39" i="4"/>
  <c r="J40" i="4" s="1"/>
  <c r="J41" i="4" s="1"/>
  <c r="J42" i="4" s="1"/>
  <c r="J43" i="4" s="1"/>
  <c r="J44" i="4" s="1"/>
  <c r="J45" i="4" s="1"/>
  <c r="J46" i="4" s="1"/>
  <c r="J47" i="4" s="1"/>
  <c r="J48" i="4" s="1"/>
  <c r="C56" i="4"/>
  <c r="N37" i="8"/>
  <c r="N36" i="8"/>
  <c r="N35" i="6"/>
  <c r="N36" i="6"/>
  <c r="N37" i="5"/>
  <c r="N36" i="5"/>
  <c r="N34" i="8" l="1"/>
  <c r="N33" i="8"/>
  <c r="N30" i="8"/>
  <c r="N32" i="8"/>
  <c r="N31" i="8"/>
  <c r="N29" i="8"/>
  <c r="N34" i="7"/>
  <c r="N33" i="7"/>
  <c r="N32" i="7"/>
  <c r="N31" i="7"/>
  <c r="N30" i="7"/>
  <c r="N29" i="7"/>
  <c r="N34" i="6"/>
  <c r="N32" i="6"/>
  <c r="N31" i="6"/>
  <c r="N30" i="6"/>
  <c r="N29" i="6"/>
  <c r="N35" i="5"/>
  <c r="N34" i="5"/>
  <c r="N33" i="5"/>
  <c r="N32" i="5"/>
  <c r="N31" i="5"/>
  <c r="N30" i="5"/>
  <c r="N29" i="5"/>
  <c r="N34" i="4"/>
  <c r="N30" i="4"/>
  <c r="N32" i="4"/>
  <c r="N29" i="4"/>
  <c r="C51" i="4" s="1"/>
  <c r="B2" i="2" s="1"/>
  <c r="N31" i="4"/>
  <c r="C51" i="8" l="1"/>
  <c r="B6" i="2" s="1"/>
  <c r="C51" i="5"/>
  <c r="B3" i="2" s="1"/>
  <c r="C51" i="6"/>
  <c r="B4" i="2" s="1"/>
  <c r="C51" i="7"/>
  <c r="B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6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Cash paid out of pocket per year of school. Borrowed money (B) is excluded here because it is repaid through P later.</t>
        </r>
      </text>
    </comment>
    <comment ref="A54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NPV is linear in S1, so the breakeven salary has a closed form: S1* = (S1·Σm − NPV)/Σm, where m(k) is the discounted after-tax salary weight in each post-program year. No bisection needed.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6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Cash paid out of pocket per year of school. Borrowed money (B) is excluded here because it is repaid through P later.</t>
        </r>
      </text>
    </comment>
    <comment ref="A54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NPV is linear in S1, so the breakeven salary has a closed form: S1* = (S1·Σm − NPV)/Σm, where m(k) is the discounted after-tax salary weight in each post-program year. No bisection needed.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6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Cash paid out of pocket per year of school. Borrowed money (B) is excluded here because it is repaid through P later.</t>
        </r>
      </text>
    </comment>
    <comment ref="A54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NPV is linear in S1, so the breakeven salary has a closed form: S1* = (S1·Σm − NPV)/Σm, where m(k) is the discounted after-tax salary weight in each post-program year. No bisection needed.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6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Cash paid out of pocket per year of school. Borrowed money (B) is excluded here because it is repaid through P later.</t>
        </r>
      </text>
    </comment>
    <comment ref="A54" authorId="0" shapeId="0" xr:uid="{00000000-0006-0000-0600-000002000000}">
      <text>
        <r>
          <rPr>
            <sz val="11"/>
            <color theme="1"/>
            <rFont val="Calibri"/>
            <family val="2"/>
            <charset val="1"/>
          </rPr>
          <t>NPV is linear in S1, so the breakeven salary has a closed form: S1* = (S1·Σm − NPV)/Σm, where m(k) is the discounted after-tax salary weight in each post-program year. No bisection needed.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6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Cash paid out of pocket per year of school. Borrowed money (B) is excluded here because it is repaid through P later.</t>
        </r>
      </text>
    </comment>
    <comment ref="A54" authorId="0" shapeId="0" xr:uid="{00000000-0006-0000-0700-000002000000}">
      <text>
        <r>
          <rPr>
            <sz val="11"/>
            <color theme="1"/>
            <rFont val="Calibri"/>
            <family val="2"/>
            <charset val="1"/>
          </rPr>
          <t>NPV is linear in S1, so the breakeven salary has a closed form: S1* = (S1·Σm − NPV)/Σm, where m(k) is the discounted after-tax salary weight in each post-program year. No bisection needed.</t>
        </r>
      </text>
    </comment>
  </commentList>
</comments>
</file>

<file path=xl/sharedStrings.xml><?xml version="1.0" encoding="utf-8"?>
<sst xmlns="http://schemas.openxmlformats.org/spreadsheetml/2006/main" count="476" uniqueCount="190">
  <si>
    <t>Grad Program ROI — hand-check test cases (spec v0.2, §5 model)</t>
  </si>
  <si>
    <t>Purpose: five worked cases whose outputs become the unit tests for the app's model module.</t>
  </si>
  <si>
    <t>Each case sheet has: INPUTS (yellow cells, blue text — the only cells to edit), DERIVED values, a 20-row annual table, and OUTPUTS.</t>
  </si>
  <si>
    <t>All inputs are hypothetical except Case 3's S1 = 73,268, which is the College Scorecard 1-year median for Cal Poly CIP 5213 master's (API, Sept 9, 2026).</t>
  </si>
  <si>
    <t>Model, per year k (after-tax cash):</t>
  </si>
  <si>
    <t xml:space="preserve">  CF_A(k) = S0·(1+g_work)^(k−1)·(1−t)</t>
  </si>
  <si>
    <t xml:space="preserve">  CF_B(k) = −C_sch·sf(k) + S1·(1+g_grad)^exp(k)·(1−t)·wf(k) − P·lf(k)</t>
  </si>
  <si>
    <t xml:space="preserve">    C_sch = (T−Sch−B)/L + Living − PT·(1−t)      cash cost per school-year (borrowed money excluded; it returns as P)</t>
  </si>
  <si>
    <t xml:space="preserve">    sf(k) = fraction of year k spent in school = clamp(L−(k−1), 0, 1)</t>
  </si>
  <si>
    <t xml:space="preserve">    ts = L + gap/12 = when the new salary starts;  wf(k) = fraction of year k after ts = clamp(k−ts, 0, 1)</t>
  </si>
  <si>
    <t xml:space="preserve">    exp(k) = k − kf where kf = FLOOR(ts)+1 is the first working year (so the first working year gets exponent 0)</t>
  </si>
  <si>
    <t xml:space="preserve">    lf(k) = fraction of year k inside the loan term [L, L+N];  P = B·r/(1−(1+r)^−N)</t>
  </si>
  <si>
    <t xml:space="preserve">  Diff(k) = CF_B − CF_A;  NPV = Σ Diff(k)/(1+d)^k for k ≤ H;  payback = first k with cumulative Diff ≥ 0 in every year from k through H</t>
  </si>
  <si>
    <t xml:space="preserve">  Breakeven S1* = (S1·Σm − NPV)/Σm, with m(k) = (1+g_grad)^exp·(1−t)·wf(k)/(1+d)^k for k ≤ H  (NPV is linear in S1)</t>
  </si>
  <si>
    <t>Simplifications (documented in spec §10): one flat tax rate; loan payments start the moment the program ends (no grace period);</t>
  </si>
  <si>
    <t>raises compound once per year; no inflation adjustment beyond the discount rate.</t>
  </si>
  <si>
    <t>How to use: change a yellow cell and everything recomputes. Copy the OUTPUTS block of each case into the model's test file.</t>
  </si>
  <si>
    <t>Payback rule changed Oct 2026: cumulative cash must reach zero and stay there. Part-time study can make year 1's Diff exactly 0 before going negative; the old rule called that year 1. All five cases above give the same payback under both rules.</t>
  </si>
  <si>
    <t>Sheet Build4_StudyScenarios: hand-worked cases for part-time study, tuition reimbursement and the three scenarios (src/lib/scenarios.test.ts), plus the payback-rule case (src/lib/model.test.ts).</t>
  </si>
  <si>
    <t>Case</t>
  </si>
  <si>
    <t>Payback year</t>
  </si>
  <si>
    <t>NPV ($)</t>
  </si>
  <si>
    <t>Breakeven S1* ($)</t>
  </si>
  <si>
    <t>Scorecard/entered S1 ($)</t>
  </si>
  <si>
    <t>Expected behaviour</t>
  </si>
  <si>
    <t>1. Cheap program, big salary jump</t>
  </si>
  <si>
    <t>Pays back in year 4; large positive NPV; breakeven S1 well below 95k</t>
  </si>
  <si>
    <t>2. Expensive program, small salary jump</t>
  </si>
  <si>
    <t>Does not pay back within 10 years; NPV negative; breakeven S1 well above 80k</t>
  </si>
  <si>
    <t>3. Ten-month program (MSBA-like), Scorecard salary</t>
  </si>
  <si>
    <t>Fractional year and mid-year salary start prorate correctly. With S0 = 65k, the Scorecard 1-yr median (73k) is not enough: no payback in 10 yrs, breakeven S1 ≈ 79k</t>
  </si>
  <si>
    <t>4. No borrowing (paid from savings)</t>
  </si>
  <si>
    <t>Loan payment P = 0; full net tuition (20k) hits year 1; pays back around year 6</t>
  </si>
  <si>
    <t>5. High salary already, program never pays off</t>
  </si>
  <si>
    <t>Never pays back; NPV strongly negative; breakeven S1 far above 92k</t>
  </si>
  <si>
    <t>Green = linked from the case sheets. Change inputs on a case sheet, not here.</t>
  </si>
  <si>
    <t>Build 4 — part-time study, tuition reimbursement, scenarios</t>
  </si>
  <si>
    <t>Hand-worked cases behind src/lib/scenarios.test.ts (12) and the payback-rule case in src/lib/model.test.ts. None changes the model: each is a transform on the model's own inputs, then the §5 model runs as on the case sheets.</t>
  </si>
  <si>
    <t>Part-time: L = part-time length, PT = pay kept. Reimbursement R per school-year: Sch += MIN(R·L, MAX(T−Sch,0)); then B is capped at MAX(T−Sch,0) when reimbursement is used. Scenarios (spec A2): pessimistic S1 = S0 + uplift·½, gap = MAX(gap, 9), g_grad = MIN(g_grad, g_work); optimistic S1 = S0 + uplift·1.25, gap = 0. Each takes the worse/better of its rule and the entered value, so they never cross.</t>
  </si>
  <si>
    <t>SHARED INPUTS (cases 1–7; blue = hardcoded)</t>
  </si>
  <si>
    <t>Current salary S0</t>
  </si>
  <si>
    <t>Keep working, after tax, per year:</t>
  </si>
  <si>
    <t>Raise rate g_work</t>
  </si>
  <si>
    <t>After the program, after tax, per year:</t>
  </si>
  <si>
    <t>Tax rate t</t>
  </si>
  <si>
    <t>Discount rate d</t>
  </si>
  <si>
    <t>Horizon H</t>
  </si>
  <si>
    <t>Full-time length L</t>
  </si>
  <si>
    <t>Tuition T</t>
  </si>
  <si>
    <t>Living</t>
  </si>
  <si>
    <t>Job search gap (months)</t>
  </si>
  <si>
    <t>Starting salary S1</t>
  </si>
  <si>
    <t>Raise rate after g_grad</t>
  </si>
  <si>
    <t>A. PART-TIME AND REIMBURSEMENT (no raises, d = 0, no loan unless set, no job search)</t>
  </si>
  <si>
    <t>Part-time?</t>
  </si>
  <si>
    <t>Part-time length</t>
  </si>
  <si>
    <t>Pay kept /yr</t>
  </si>
  <si>
    <t>Reimb. /yr</t>
  </si>
  <si>
    <t>Sch</t>
  </si>
  <si>
    <t>B</t>
  </si>
  <si>
    <t>L used</t>
  </si>
  <si>
    <t>PT used</t>
  </si>
  <si>
    <t>Reimb. total</t>
  </si>
  <si>
    <t>Sch used</t>
  </si>
  <si>
    <t>B used</t>
  </si>
  <si>
    <t>C_sch</t>
  </si>
  <si>
    <t>Hand-worked expected</t>
  </si>
  <si>
    <t>Test</t>
  </si>
  <si>
    <t>1. Full-time reference</t>
  </si>
  <si>
    <t>No</t>
  </si>
  <si>
    <t>C_sch 20,000. CumDiff −65,000, −50,000, −35,000, −20,000, −5,000 → no payback.</t>
  </si>
  <si>
    <t>full-time reference (no options)</t>
  </si>
  <si>
    <t>2. Part-time lengthens and keeps pay</t>
  </si>
  <si>
    <t>Yes</t>
  </si>
  <si>
    <t>L = 2, PT = 60,000.</t>
  </si>
  <si>
    <t>part-time study › lengthens the program and keeps the pay</t>
  </si>
  <si>
    <t>3. Part-time, 2 years keeping $60k</t>
  </si>
  <si>
    <t>C_sch = 10,000 − 45,000 = −35,000; years 1–2 Diff −10,000; years 3–5 +15,000. CumDiff −10,000, −20,000, −5,000, 10,000, 25,000 → payback 4; NPV 25,000; Σm 2.25; S1* = (80,000·2.25 − 25,000)/2.25 = 68,888.89.</t>
  </si>
  <si>
    <t>part-time study › matches the hand calculation</t>
  </si>
  <si>
    <t>4. Reimbursement $5,250/yr</t>
  </si>
  <si>
    <t>Sch 5,250; C_sch 14,750; year 1 CumDiff −59,750; CumDiff(5) = 250 → payback 5.</t>
  </si>
  <si>
    <t>tuition reimbursement › cuts each school-year's cost</t>
  </si>
  <si>
    <t>5. Reimbursement capped at tuition</t>
  </si>
  <si>
    <t>Reimb. total = MIN(30,000, 20,000 − 5,000) = 15,000; C_sch 0.</t>
  </si>
  <si>
    <t>tuition reimbursement › never pays more than tuition</t>
  </si>
  <si>
    <t>6. Borrowing capped at what's left</t>
  </si>
  <si>
    <t>Left to pay 20,000 − 5,250 = 14,750 → B 14,750; C_sch 0.</t>
  </si>
  <si>
    <t>tuition reimbursement › caps borrowing</t>
  </si>
  <si>
    <t>7. Part-time + reimbursement</t>
  </si>
  <si>
    <t>Sch 10,500; C_sch = 4,750 − 45,000 = −40,250; years 1–2 Diff −4,750. CumDiff −4,750, −9,500, 5,500, 20,500, 35,500 → payback 3.</t>
  </si>
  <si>
    <t>tuition reimbursement › combines with part-time</t>
  </si>
  <si>
    <t>B. SCENARIOS (spec A2), from the entered values</t>
  </si>
  <si>
    <t>S0</t>
  </si>
  <si>
    <t>S1 entered</t>
  </si>
  <si>
    <t>gap entered</t>
  </si>
  <si>
    <t>g_work</t>
  </si>
  <si>
    <t>g_grad entered</t>
  </si>
  <si>
    <t>Pess. S1</t>
  </si>
  <si>
    <t>Pess. gap</t>
  </si>
  <si>
    <t>Pess. g_grad</t>
  </si>
  <si>
    <t>Opt. S1</t>
  </si>
  <si>
    <t>Opt. gap</t>
  </si>
  <si>
    <t>Opt. g_grad</t>
  </si>
  <si>
    <t>8. Base is the inputs as entered</t>
  </si>
  <si>
    <t>Base = entered: S1 80,000, gap 3, g_grad 4%.</t>
  </si>
  <si>
    <t>scenarios › base is the inputs as entered</t>
  </si>
  <si>
    <t>9. Pessimistic</t>
  </si>
  <si>
    <t>S1 = 60,000 + 20,000/2 = 70,000; gap 9; g_grad 3%.</t>
  </si>
  <si>
    <t>scenarios › pessimistic halves the uplift</t>
  </si>
  <si>
    <t>10. Optimistic</t>
  </si>
  <si>
    <t>S1 = 60,000 + 20,000·1.25 = 85,000; gap 0; g_grad 4%.</t>
  </si>
  <si>
    <t>scenarios › optimistic adds a quarter to the uplift</t>
  </si>
  <si>
    <t>11. Pay cut: pessimistic never better than base</t>
  </si>
  <si>
    <t>Uplift −10,000: pessimistic S1 47,500 (the bigger cut), optimistic 55,000; pessimistic keeps gap 12 and g_grad 2%.</t>
  </si>
  <si>
    <t>scenarios › never makes pessimistic better than base</t>
  </si>
  <si>
    <t>12. Outcomes ordered (d 5%, H 10, L 1, T 20,000, B 0)</t>
  </si>
  <si>
    <t>Model NPVs: pessimistic −51,074.80 &lt; base 45,250.91 &lt; optimistic 88,327.97. The chart band contains the base line every year.</t>
  </si>
  <si>
    <t>scenarios › orders the outcomes and bands the base line</t>
  </si>
  <si>
    <t>C. PAYBACK RULE (src/lib/model.test.ts)</t>
  </si>
  <si>
    <t>t</t>
  </si>
  <si>
    <t>L (part-time)</t>
  </si>
  <si>
    <t>T</t>
  </si>
  <si>
    <t>PT</t>
  </si>
  <si>
    <t>Year 1 CumDiff</t>
  </si>
  <si>
    <t>Year 2 CumDiff</t>
  </si>
  <si>
    <t>Year 3 CumDiff</t>
  </si>
  <si>
    <t>Payback</t>
  </si>
  <si>
    <t>13. Part-time: year 1 touches 0, then goes negative</t>
  </si>
  <si>
    <t>Other inputs: d 5%, H 10, Sch 0, Living 0, gap 3, S1 85,000, g_grad 4%, r 8%, N 10. CumDiff 0, −1,350, −4,090.50, … stays ≥ 0 only from year 7. Old rule: year 1; new rule: year 7.</t>
  </si>
  <si>
    <t>payback › does not count a year-1 touch of zero</t>
  </si>
  <si>
    <t>Expected behaviour: Pays back in year 4; large positive NPV; breakeven S1 well below 95k</t>
  </si>
  <si>
    <t>INPUTS (blue = hardcoded; edit these)</t>
  </si>
  <si>
    <t>Symbol</t>
  </si>
  <si>
    <t>Current salary (pre-tax, $/yr)</t>
  </si>
  <si>
    <t>Raise rate if you keep working</t>
  </si>
  <si>
    <t>Effective tax rate (flat)</t>
  </si>
  <si>
    <t>Discount rate</t>
  </si>
  <si>
    <t>d</t>
  </si>
  <si>
    <t>Horizon (years, max 20)</t>
  </si>
  <si>
    <t>H</t>
  </si>
  <si>
    <t>Program length (years, fractional ok)</t>
  </si>
  <si>
    <t>L</t>
  </si>
  <si>
    <t>Tuition and fees, whole program ($)</t>
  </si>
  <si>
    <t>Scholarships and grants ($)</t>
  </si>
  <si>
    <t>Part-time earnings while enrolled (pre-tax, $/yr)</t>
  </si>
  <si>
    <t>Extra living cost while enrolled ($/yr)</t>
  </si>
  <si>
    <t>Job search after program (months)</t>
  </si>
  <si>
    <t>gap</t>
  </si>
  <si>
    <t>Starting salary after program (pre-tax, $/yr)</t>
  </si>
  <si>
    <t>S1</t>
  </si>
  <si>
    <t>Raise rate after program</t>
  </si>
  <si>
    <t>g_grad</t>
  </si>
  <si>
    <t>Amount borrowed ($)</t>
  </si>
  <si>
    <t>Loan interest rate</t>
  </si>
  <si>
    <t>r</t>
  </si>
  <si>
    <t>Loan term (years)</t>
  </si>
  <si>
    <t>N</t>
  </si>
  <si>
    <t>DERIVED</t>
  </si>
  <si>
    <t>Annual loan payment P = B·r/(1−(1+r)^−N)</t>
  </si>
  <si>
    <t>P</t>
  </si>
  <si>
    <t>Salary start time ts = L + gap/12 (years from today)</t>
  </si>
  <si>
    <t>ts</t>
  </si>
  <si>
    <t>First working year kf = FLOOR(ts)+1</t>
  </si>
  <si>
    <t>kf</t>
  </si>
  <si>
    <t>Net school cost per school-year = (T−Sch−B)/L + Living − PT·(1−t)</t>
  </si>
  <si>
    <t>Year k</t>
  </si>
  <si>
    <t>In horizon (k&lt;=H)</t>
  </si>
  <si>
    <t>School fraction sf</t>
  </si>
  <si>
    <t>Working fraction wf</t>
  </si>
  <si>
    <t>Raise exponent</t>
  </si>
  <si>
    <t>Loan fraction lf</t>
  </si>
  <si>
    <t>CF_A keep working</t>
  </si>
  <si>
    <t>CF_B program</t>
  </si>
  <si>
    <t>Diff = CF_B − CF_A</t>
  </si>
  <si>
    <t>Cumulative diff</t>
  </si>
  <si>
    <t>Discount factor</t>
  </si>
  <si>
    <t>PV of diff</t>
  </si>
  <si>
    <t>S1 multiplier m(k)</t>
  </si>
  <si>
    <t>Payback helper</t>
  </si>
  <si>
    <t>OUTPUTS (check these by hand)</t>
  </si>
  <si>
    <t>Payback year (first k with cumulative diff ≥ 0 from k through H)</t>
  </si>
  <si>
    <t>NPV of (program − keep working), years 1..H ($)</t>
  </si>
  <si>
    <t>Σ S1 multiplier (NPV sensitivity to S1)</t>
  </si>
  <si>
    <t>Breakeven starting salary S1* = (S1·Σm − NPV)/Σm ($)</t>
  </si>
  <si>
    <t>Check: NPV recomputed at S1* should be 0</t>
  </si>
  <si>
    <t>Cumulative diff at year H ($, undiscounted)</t>
  </si>
  <si>
    <t>Expected behaviour: Does not pay back within 10 years; NPV negative; breakeven S1 well above 80k</t>
  </si>
  <si>
    <t>Expected behaviour: Fractional year and mid-year salary start prorate correctly. With S0 = 65k, the Scorecard 1-yr median (73k) is not enough: no payback in 10 yrs, breakeven S1 ≈ 79k</t>
  </si>
  <si>
    <t>Expected behaviour: Loan payment P = 0; full net tuition (20k) hits year 1; pays back around year 6</t>
  </si>
  <si>
    <t>Expected behaviour: Never pays back; NPV strongly negative; breakeven S1 far above 92k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</si>
</sst>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%"/>
    <numFmt numFmtId="166" formatCode="0.000"/>
    <numFmt numFmtId="167" formatCode="0.0000"/>
    <numFmt numFmtId="168" formatCode="\$#,##0.00;&quot;($&quot;#,##0.00\);\-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i/>
      <sz val="11"/>
      <name val="Arial"/>
      <charset val="1"/>
    </font>
    <font>
      <sz val="11"/>
      <color rgb="FF0000FF"/>
      <name val="Arial"/>
      <charset val="1"/>
    </font>
    <font>
      <b/>
      <sz val="13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0" xfId="0" applyFont="1"/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1" fontId="7" fillId="3" borderId="1" xfId="0" applyNumberFormat="1" applyFont="1" applyFill="1" applyBorder="1"/>
    <xf numFmtId="2" fontId="7" fillId="3" borderId="1" xfId="0" applyNumberFormat="1" applyFont="1" applyFill="1" applyBorder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4" fillId="2" borderId="1" xfId="0" applyFont="1" applyFill="1" applyBorder="1" applyAlignment="1">
      <alignment horizontal="center" wrapText="1"/>
    </xf>
    <xf numFmtId="1" fontId="2" fillId="0" borderId="1" xfId="0" applyNumberFormat="1" applyFont="1" applyBorder="1"/>
    <xf numFmtId="166" fontId="2" fillId="0" borderId="1" xfId="0" applyNumberFormat="1" applyFont="1" applyBorder="1"/>
    <xf numFmtId="164" fontId="2" fillId="0" borderId="1" xfId="0" applyNumberFormat="1" applyFont="1" applyBorder="1"/>
    <xf numFmtId="167" fontId="2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7" fontId="3" fillId="4" borderId="1" xfId="0" applyNumberFormat="1" applyFont="1" applyFill="1" applyBorder="1"/>
    <xf numFmtId="0" fontId="8" fillId="0" borderId="0" xfId="0" applyFont="1"/>
    <xf numFmtId="0" fontId="0" fillId="0" borderId="0" xfId="0" applyAlignment="1">
      <alignment vertical="top" wrapText="1"/>
    </xf>
    <xf numFmtId="0" fontId="9" fillId="0" borderId="0" xfId="0" applyFont="1"/>
    <xf numFmtId="164" fontId="7" fillId="3" borderId="0" xfId="0" applyNumberFormat="1" applyFont="1" applyFill="1"/>
    <xf numFmtId="164" fontId="9" fillId="4" borderId="0" xfId="0" applyNumberFormat="1" applyFont="1" applyFill="1"/>
    <xf numFmtId="165" fontId="7" fillId="3" borderId="0" xfId="0" applyNumberFormat="1" applyFont="1" applyFill="1"/>
    <xf numFmtId="0" fontId="7" fillId="3" borderId="0" xfId="0" applyFont="1" applyFill="1"/>
    <xf numFmtId="0" fontId="4" fillId="2" borderId="0" xfId="0" applyFont="1" applyFill="1" applyAlignment="1">
      <alignment vertical="top" wrapText="1"/>
    </xf>
    <xf numFmtId="0" fontId="9" fillId="4" borderId="0" xfId="0" applyFont="1" applyFill="1"/>
    <xf numFmtId="165" fontId="9" fillId="4" borderId="0" xfId="0" applyNumberFormat="1" applyFont="1" applyFill="1"/>
    <xf numFmtId="168" fontId="9" fillId="4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zoomScaleNormal="100" workbookViewId="0"/>
  </sheetViews>
  <sheetFormatPr defaultColWidth="8.6328125" defaultRowHeight="14.5" x14ac:dyDescent="0.35"/>
  <cols>
    <col min="1" max="1" width="110" customWidth="1"/>
  </cols>
  <sheetData>
    <row r="1" spans="1:1" ht="16.149999999999999" customHeight="1" x14ac:dyDescent="0.35">
      <c r="A1" s="1" t="s">
        <v>0</v>
      </c>
    </row>
    <row r="2" spans="1:1" ht="15" customHeight="1" x14ac:dyDescent="0.35">
      <c r="A2" s="2"/>
    </row>
    <row r="3" spans="1:1" ht="15" customHeight="1" x14ac:dyDescent="0.35">
      <c r="A3" s="2" t="s">
        <v>1</v>
      </c>
    </row>
    <row r="4" spans="1:1" ht="15" customHeight="1" x14ac:dyDescent="0.35">
      <c r="A4" s="2" t="s">
        <v>2</v>
      </c>
    </row>
    <row r="5" spans="1:1" ht="15" customHeight="1" x14ac:dyDescent="0.35">
      <c r="A5" s="2" t="s">
        <v>3</v>
      </c>
    </row>
    <row r="6" spans="1:1" ht="15" customHeight="1" x14ac:dyDescent="0.35">
      <c r="A6" s="2"/>
    </row>
    <row r="7" spans="1:1" ht="15" customHeight="1" x14ac:dyDescent="0.35">
      <c r="A7" s="3" t="s">
        <v>4</v>
      </c>
    </row>
    <row r="8" spans="1:1" ht="15" customHeight="1" x14ac:dyDescent="0.35">
      <c r="A8" s="2" t="s">
        <v>5</v>
      </c>
    </row>
    <row r="9" spans="1:1" ht="15" customHeight="1" x14ac:dyDescent="0.35">
      <c r="A9" s="2" t="s">
        <v>6</v>
      </c>
    </row>
    <row r="10" spans="1:1" ht="15" customHeight="1" x14ac:dyDescent="0.35">
      <c r="A10" s="2" t="s">
        <v>7</v>
      </c>
    </row>
    <row r="11" spans="1:1" ht="15" customHeight="1" x14ac:dyDescent="0.35">
      <c r="A11" s="2" t="s">
        <v>8</v>
      </c>
    </row>
    <row r="12" spans="1:1" ht="15" customHeight="1" x14ac:dyDescent="0.35">
      <c r="A12" s="2" t="s">
        <v>9</v>
      </c>
    </row>
    <row r="13" spans="1:1" ht="15" customHeight="1" x14ac:dyDescent="0.35">
      <c r="A13" s="2" t="s">
        <v>10</v>
      </c>
    </row>
    <row r="14" spans="1:1" ht="15" customHeight="1" x14ac:dyDescent="0.35">
      <c r="A14" s="2" t="s">
        <v>11</v>
      </c>
    </row>
    <row r="15" spans="1:1" ht="15" customHeight="1" x14ac:dyDescent="0.35">
      <c r="A15" s="2" t="s">
        <v>12</v>
      </c>
    </row>
    <row r="16" spans="1:1" ht="15" customHeight="1" x14ac:dyDescent="0.35">
      <c r="A16" s="2" t="s">
        <v>13</v>
      </c>
    </row>
    <row r="17" spans="1:1" ht="15" customHeight="1" x14ac:dyDescent="0.35">
      <c r="A17" s="2"/>
    </row>
    <row r="18" spans="1:1" ht="15" customHeight="1" x14ac:dyDescent="0.35">
      <c r="A18" s="2" t="s">
        <v>14</v>
      </c>
    </row>
    <row r="19" spans="1:1" ht="15" customHeight="1" x14ac:dyDescent="0.35">
      <c r="A19" s="2" t="s">
        <v>15</v>
      </c>
    </row>
    <row r="20" spans="1:1" ht="15" customHeight="1" x14ac:dyDescent="0.35">
      <c r="A20" s="2"/>
    </row>
    <row r="21" spans="1:1" ht="15" customHeight="1" x14ac:dyDescent="0.35">
      <c r="A21" s="2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ColWidth="8.6328125" defaultRowHeight="14.5" x14ac:dyDescent="0.35"/>
  <cols>
    <col min="1" max="1" width="48" customWidth="1"/>
    <col min="2" max="3" width="16" customWidth="1"/>
    <col min="4" max="5" width="18" customWidth="1"/>
    <col min="6" max="6" width="60" customWidth="1"/>
  </cols>
  <sheetData>
    <row r="1" spans="1:6" ht="15" customHeight="1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spans="1:6" ht="15" customHeight="1" x14ac:dyDescent="0.35">
      <c r="A2" s="5" t="s">
        <v>25</v>
      </c>
      <c r="B2" s="6">
        <f>Case1_CheapBigJump!C51</f>
        <v>4</v>
      </c>
      <c r="C2" s="7">
        <f>Case1_CheapBigJump!C52</f>
        <v>129985.6818194876</v>
      </c>
      <c r="D2" s="7">
        <f>Case1_CheapBigJump!C54</f>
        <v>72292.120365021561</v>
      </c>
      <c r="E2" s="7">
        <f>Case1_CheapBigJump!$C$16</f>
        <v>95000</v>
      </c>
      <c r="F2" s="5" t="s">
        <v>26</v>
      </c>
    </row>
    <row r="3" spans="1:6" ht="15" customHeight="1" x14ac:dyDescent="0.35">
      <c r="A3" s="5" t="s">
        <v>27</v>
      </c>
      <c r="B3" s="6" t="str">
        <f>Case2_ExpensiveSmallJump!C51</f>
        <v>Not within horizon</v>
      </c>
      <c r="C3" s="7">
        <f>Case2_ExpensiveSmallJump!C52</f>
        <v>-177085.58843057678</v>
      </c>
      <c r="D3" s="7">
        <f>Case2_ExpensiveSmallJump!C54</f>
        <v>116500.89907883569</v>
      </c>
      <c r="E3" s="7">
        <f>Case2_ExpensiveSmallJump!$C$16</f>
        <v>80000</v>
      </c>
      <c r="F3" s="5" t="s">
        <v>28</v>
      </c>
    </row>
    <row r="4" spans="1:6" ht="15" customHeight="1" x14ac:dyDescent="0.35">
      <c r="A4" s="5" t="s">
        <v>29</v>
      </c>
      <c r="B4" s="6" t="str">
        <f>Case3_MSBA_Fractional!C51</f>
        <v>Not within horizon</v>
      </c>
      <c r="C4" s="7">
        <f>Case3_MSBA_Fractional!C52</f>
        <v>-34721.132996928252</v>
      </c>
      <c r="D4" s="7">
        <f>Case3_MSBA_Fractional!C54</f>
        <v>79213.500536516702</v>
      </c>
      <c r="E4" s="7">
        <f>Case3_MSBA_Fractional!$C$16</f>
        <v>73268</v>
      </c>
      <c r="F4" s="5" t="s">
        <v>30</v>
      </c>
    </row>
    <row r="5" spans="1:6" ht="15" customHeight="1" x14ac:dyDescent="0.35">
      <c r="A5" s="5" t="s">
        <v>31</v>
      </c>
      <c r="B5" s="6">
        <f>Case4_NoLoans!C51</f>
        <v>6</v>
      </c>
      <c r="C5" s="7">
        <f>Case4_NoLoans!C52</f>
        <v>49433.125909762333</v>
      </c>
      <c r="D5" s="7">
        <f>Case4_NoLoans!C54</f>
        <v>66364.268299192569</v>
      </c>
      <c r="E5" s="7">
        <f>Case4_NoLoans!$C$16</f>
        <v>75000</v>
      </c>
      <c r="F5" s="5" t="s">
        <v>32</v>
      </c>
    </row>
    <row r="6" spans="1:6" ht="15" customHeight="1" x14ac:dyDescent="0.35">
      <c r="A6" s="5" t="s">
        <v>33</v>
      </c>
      <c r="B6" s="6" t="str">
        <f>Case5_NeverPaysOff!C51</f>
        <v>Not within horizon</v>
      </c>
      <c r="C6" s="7">
        <f>Case5_NeverPaysOff!C52</f>
        <v>-222750.34877012923</v>
      </c>
      <c r="D6" s="7">
        <f>Case5_NeverPaysOff!C54</f>
        <v>137913.32401632098</v>
      </c>
      <c r="E6" s="7">
        <f>Case5_NeverPaysOff!$C$16</f>
        <v>92000</v>
      </c>
      <c r="F6" s="5" t="s">
        <v>34</v>
      </c>
    </row>
    <row r="8" spans="1:6" ht="15" customHeight="1" x14ac:dyDescent="0.35">
      <c r="A8" s="8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pane xSplit="1" ySplit="19" topLeftCell="B20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0" customWidth="1"/>
    <col min="2" max="2" width="11" customWidth="1"/>
    <col min="3" max="9" width="12" customWidth="1"/>
    <col min="10" max="12" width="13" customWidth="1"/>
    <col min="13" max="13" width="11" customWidth="1"/>
    <col min="14" max="14" width="60" customWidth="1"/>
    <col min="15" max="15" width="34" customWidth="1"/>
  </cols>
  <sheetData>
    <row r="1" spans="1:14" ht="17" x14ac:dyDescent="0.4">
      <c r="A1" s="24" t="s">
        <v>36</v>
      </c>
    </row>
    <row r="2" spans="1:14" ht="48" customHeight="1" x14ac:dyDescent="0.35">
      <c r="A2" s="35" t="s">
        <v>37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48" customHeight="1" x14ac:dyDescent="0.35">
      <c r="A3" s="35" t="s">
        <v>38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5" spans="1:14" x14ac:dyDescent="0.35">
      <c r="A5" s="26" t="s">
        <v>39</v>
      </c>
    </row>
    <row r="6" spans="1:14" x14ac:dyDescent="0.35">
      <c r="A6" t="s">
        <v>40</v>
      </c>
      <c r="C6" s="27">
        <v>60000</v>
      </c>
      <c r="E6" t="s">
        <v>41</v>
      </c>
      <c r="H6" s="28">
        <f>$C$6*(1-$C$8)</f>
        <v>45000</v>
      </c>
    </row>
    <row r="7" spans="1:14" x14ac:dyDescent="0.35">
      <c r="A7" t="s">
        <v>42</v>
      </c>
      <c r="C7" s="29">
        <v>0</v>
      </c>
      <c r="E7" t="s">
        <v>43</v>
      </c>
      <c r="H7" s="28">
        <f>$C$15*(1-$C$8)</f>
        <v>60000</v>
      </c>
    </row>
    <row r="8" spans="1:14" x14ac:dyDescent="0.35">
      <c r="A8" t="s">
        <v>44</v>
      </c>
      <c r="C8" s="29">
        <v>0.25</v>
      </c>
    </row>
    <row r="9" spans="1:14" x14ac:dyDescent="0.35">
      <c r="A9" t="s">
        <v>45</v>
      </c>
      <c r="C9" s="29">
        <v>0</v>
      </c>
    </row>
    <row r="10" spans="1:14" x14ac:dyDescent="0.35">
      <c r="A10" t="s">
        <v>46</v>
      </c>
      <c r="C10" s="30">
        <v>5</v>
      </c>
    </row>
    <row r="11" spans="1:14" x14ac:dyDescent="0.35">
      <c r="A11" t="s">
        <v>47</v>
      </c>
      <c r="C11" s="30">
        <v>1</v>
      </c>
    </row>
    <row r="12" spans="1:14" x14ac:dyDescent="0.35">
      <c r="A12" t="s">
        <v>48</v>
      </c>
      <c r="C12" s="27">
        <v>20000</v>
      </c>
    </row>
    <row r="13" spans="1:14" x14ac:dyDescent="0.35">
      <c r="A13" t="s">
        <v>49</v>
      </c>
      <c r="C13" s="27">
        <v>0</v>
      </c>
    </row>
    <row r="14" spans="1:14" x14ac:dyDescent="0.35">
      <c r="A14" t="s">
        <v>50</v>
      </c>
      <c r="C14" s="30">
        <v>0</v>
      </c>
    </row>
    <row r="15" spans="1:14" x14ac:dyDescent="0.35">
      <c r="A15" t="s">
        <v>51</v>
      </c>
      <c r="C15" s="27">
        <v>80000</v>
      </c>
    </row>
    <row r="16" spans="1:14" x14ac:dyDescent="0.35">
      <c r="A16" t="s">
        <v>52</v>
      </c>
      <c r="C16" s="29">
        <v>0</v>
      </c>
    </row>
    <row r="18" spans="1:15" x14ac:dyDescent="0.35">
      <c r="A18" s="26" t="s">
        <v>53</v>
      </c>
    </row>
    <row r="19" spans="1:15" ht="28" x14ac:dyDescent="0.35">
      <c r="A19" s="31" t="s">
        <v>19</v>
      </c>
      <c r="B19" s="31" t="s">
        <v>54</v>
      </c>
      <c r="C19" s="31" t="s">
        <v>55</v>
      </c>
      <c r="D19" s="31" t="s">
        <v>56</v>
      </c>
      <c r="E19" s="31" t="s">
        <v>57</v>
      </c>
      <c r="F19" s="31" t="s">
        <v>58</v>
      </c>
      <c r="G19" s="31" t="s">
        <v>59</v>
      </c>
      <c r="H19" s="31" t="s">
        <v>60</v>
      </c>
      <c r="I19" s="31" t="s">
        <v>61</v>
      </c>
      <c r="J19" s="31" t="s">
        <v>62</v>
      </c>
      <c r="K19" s="31" t="s">
        <v>63</v>
      </c>
      <c r="L19" s="31" t="s">
        <v>64</v>
      </c>
      <c r="M19" s="31" t="s">
        <v>65</v>
      </c>
      <c r="N19" s="31" t="s">
        <v>66</v>
      </c>
      <c r="O19" s="31" t="s">
        <v>67</v>
      </c>
    </row>
    <row r="20" spans="1:15" ht="45" customHeight="1" x14ac:dyDescent="0.35">
      <c r="A20" t="s">
        <v>68</v>
      </c>
      <c r="B20" s="30" t="s">
        <v>69</v>
      </c>
      <c r="C20" s="30">
        <v>0</v>
      </c>
      <c r="D20" s="27">
        <v>0</v>
      </c>
      <c r="E20" s="27">
        <v>0</v>
      </c>
      <c r="F20" s="27">
        <v>0</v>
      </c>
      <c r="G20" s="27">
        <v>0</v>
      </c>
      <c r="H20" s="32">
        <f t="shared" ref="H20:H26" si="0">IF(B20="Yes",C20,$C$11)</f>
        <v>1</v>
      </c>
      <c r="I20" s="28">
        <f t="shared" ref="I20:I26" si="1">IF(B20="Yes",D20,0)</f>
        <v>0</v>
      </c>
      <c r="J20" s="28">
        <f t="shared" ref="J20:J26" si="2">MIN(MAX(E20,0)*H20,MAX($C$12-F20,0))</f>
        <v>0</v>
      </c>
      <c r="K20" s="28">
        <f t="shared" ref="K20:K26" si="3">F20+J20</f>
        <v>0</v>
      </c>
      <c r="L20" s="28">
        <f t="shared" ref="L20:L26" si="4">IF(AND(J20&gt;0,G20&gt;MAX($C$12-K20,0)),MAX($C$12-K20,0),G20)</f>
        <v>0</v>
      </c>
      <c r="M20" s="28">
        <f t="shared" ref="M20:M26" si="5">($C$12-K20-L20)/H20+$C$13-I20*(1-$C$8)</f>
        <v>20000</v>
      </c>
      <c r="N20" s="25" t="s">
        <v>70</v>
      </c>
      <c r="O20" s="25" t="s">
        <v>71</v>
      </c>
    </row>
    <row r="21" spans="1:15" ht="45" customHeight="1" x14ac:dyDescent="0.35">
      <c r="A21" t="s">
        <v>72</v>
      </c>
      <c r="B21" s="30" t="s">
        <v>73</v>
      </c>
      <c r="C21" s="30">
        <v>2</v>
      </c>
      <c r="D21" s="27">
        <v>60000</v>
      </c>
      <c r="E21" s="27">
        <v>0</v>
      </c>
      <c r="F21" s="27">
        <v>0</v>
      </c>
      <c r="G21" s="27">
        <v>0</v>
      </c>
      <c r="H21" s="32">
        <f t="shared" si="0"/>
        <v>2</v>
      </c>
      <c r="I21" s="28">
        <f t="shared" si="1"/>
        <v>60000</v>
      </c>
      <c r="J21" s="28">
        <f t="shared" si="2"/>
        <v>0</v>
      </c>
      <c r="K21" s="28">
        <f t="shared" si="3"/>
        <v>0</v>
      </c>
      <c r="L21" s="28">
        <f t="shared" si="4"/>
        <v>0</v>
      </c>
      <c r="M21" s="28">
        <f t="shared" si="5"/>
        <v>-35000</v>
      </c>
      <c r="N21" s="25" t="s">
        <v>74</v>
      </c>
      <c r="O21" s="25" t="s">
        <v>75</v>
      </c>
    </row>
    <row r="22" spans="1:15" ht="45" customHeight="1" x14ac:dyDescent="0.35">
      <c r="A22" t="s">
        <v>76</v>
      </c>
      <c r="B22" s="30" t="s">
        <v>73</v>
      </c>
      <c r="C22" s="30">
        <v>2</v>
      </c>
      <c r="D22" s="27">
        <v>60000</v>
      </c>
      <c r="E22" s="27">
        <v>0</v>
      </c>
      <c r="F22" s="27">
        <v>0</v>
      </c>
      <c r="G22" s="27">
        <v>0</v>
      </c>
      <c r="H22" s="32">
        <f t="shared" si="0"/>
        <v>2</v>
      </c>
      <c r="I22" s="28">
        <f t="shared" si="1"/>
        <v>60000</v>
      </c>
      <c r="J22" s="28">
        <f t="shared" si="2"/>
        <v>0</v>
      </c>
      <c r="K22" s="28">
        <f t="shared" si="3"/>
        <v>0</v>
      </c>
      <c r="L22" s="28">
        <f t="shared" si="4"/>
        <v>0</v>
      </c>
      <c r="M22" s="28">
        <f t="shared" si="5"/>
        <v>-35000</v>
      </c>
      <c r="N22" s="25" t="s">
        <v>77</v>
      </c>
      <c r="O22" s="25" t="s">
        <v>78</v>
      </c>
    </row>
    <row r="23" spans="1:15" ht="45" customHeight="1" x14ac:dyDescent="0.35">
      <c r="A23" t="s">
        <v>79</v>
      </c>
      <c r="B23" s="30" t="s">
        <v>69</v>
      </c>
      <c r="C23" s="30">
        <v>0</v>
      </c>
      <c r="D23" s="27">
        <v>0</v>
      </c>
      <c r="E23" s="27">
        <v>5250</v>
      </c>
      <c r="F23" s="27">
        <v>0</v>
      </c>
      <c r="G23" s="27">
        <v>0</v>
      </c>
      <c r="H23" s="32">
        <f t="shared" si="0"/>
        <v>1</v>
      </c>
      <c r="I23" s="28">
        <f t="shared" si="1"/>
        <v>0</v>
      </c>
      <c r="J23" s="28">
        <f t="shared" si="2"/>
        <v>5250</v>
      </c>
      <c r="K23" s="28">
        <f t="shared" si="3"/>
        <v>5250</v>
      </c>
      <c r="L23" s="28">
        <f t="shared" si="4"/>
        <v>0</v>
      </c>
      <c r="M23" s="28">
        <f t="shared" si="5"/>
        <v>14750</v>
      </c>
      <c r="N23" s="25" t="s">
        <v>80</v>
      </c>
      <c r="O23" s="25" t="s">
        <v>81</v>
      </c>
    </row>
    <row r="24" spans="1:15" ht="45" customHeight="1" x14ac:dyDescent="0.35">
      <c r="A24" t="s">
        <v>82</v>
      </c>
      <c r="B24" s="30" t="s">
        <v>69</v>
      </c>
      <c r="C24" s="30">
        <v>0</v>
      </c>
      <c r="D24" s="27">
        <v>0</v>
      </c>
      <c r="E24" s="27">
        <v>30000</v>
      </c>
      <c r="F24" s="27">
        <v>5000</v>
      </c>
      <c r="G24" s="27">
        <v>0</v>
      </c>
      <c r="H24" s="32">
        <f t="shared" si="0"/>
        <v>1</v>
      </c>
      <c r="I24" s="28">
        <f t="shared" si="1"/>
        <v>0</v>
      </c>
      <c r="J24" s="28">
        <f t="shared" si="2"/>
        <v>15000</v>
      </c>
      <c r="K24" s="28">
        <f t="shared" si="3"/>
        <v>20000</v>
      </c>
      <c r="L24" s="28">
        <f t="shared" si="4"/>
        <v>0</v>
      </c>
      <c r="M24" s="28">
        <f t="shared" si="5"/>
        <v>0</v>
      </c>
      <c r="N24" s="25" t="s">
        <v>83</v>
      </c>
      <c r="O24" s="25" t="s">
        <v>84</v>
      </c>
    </row>
    <row r="25" spans="1:15" ht="45" customHeight="1" x14ac:dyDescent="0.35">
      <c r="A25" t="s">
        <v>85</v>
      </c>
      <c r="B25" s="30" t="s">
        <v>69</v>
      </c>
      <c r="C25" s="30">
        <v>0</v>
      </c>
      <c r="D25" s="27">
        <v>0</v>
      </c>
      <c r="E25" s="27">
        <v>5250</v>
      </c>
      <c r="F25" s="27">
        <v>0</v>
      </c>
      <c r="G25" s="27">
        <v>20000</v>
      </c>
      <c r="H25" s="32">
        <f t="shared" si="0"/>
        <v>1</v>
      </c>
      <c r="I25" s="28">
        <f t="shared" si="1"/>
        <v>0</v>
      </c>
      <c r="J25" s="28">
        <f t="shared" si="2"/>
        <v>5250</v>
      </c>
      <c r="K25" s="28">
        <f t="shared" si="3"/>
        <v>5250</v>
      </c>
      <c r="L25" s="28">
        <f t="shared" si="4"/>
        <v>14750</v>
      </c>
      <c r="M25" s="28">
        <f t="shared" si="5"/>
        <v>0</v>
      </c>
      <c r="N25" s="25" t="s">
        <v>86</v>
      </c>
      <c r="O25" s="25" t="s">
        <v>87</v>
      </c>
    </row>
    <row r="26" spans="1:15" ht="45" customHeight="1" x14ac:dyDescent="0.35">
      <c r="A26" t="s">
        <v>88</v>
      </c>
      <c r="B26" s="30" t="s">
        <v>73</v>
      </c>
      <c r="C26" s="30">
        <v>2</v>
      </c>
      <c r="D26" s="27">
        <v>60000</v>
      </c>
      <c r="E26" s="27">
        <v>5250</v>
      </c>
      <c r="F26" s="27">
        <v>0</v>
      </c>
      <c r="G26" s="27">
        <v>0</v>
      </c>
      <c r="H26" s="32">
        <f t="shared" si="0"/>
        <v>2</v>
      </c>
      <c r="I26" s="28">
        <f t="shared" si="1"/>
        <v>60000</v>
      </c>
      <c r="J26" s="28">
        <f t="shared" si="2"/>
        <v>10500</v>
      </c>
      <c r="K26" s="28">
        <f t="shared" si="3"/>
        <v>10500</v>
      </c>
      <c r="L26" s="28">
        <f t="shared" si="4"/>
        <v>0</v>
      </c>
      <c r="M26" s="28">
        <f t="shared" si="5"/>
        <v>-40250</v>
      </c>
      <c r="N26" s="25" t="s">
        <v>89</v>
      </c>
      <c r="O26" s="25" t="s">
        <v>90</v>
      </c>
    </row>
    <row r="29" spans="1:15" x14ac:dyDescent="0.35">
      <c r="A29" s="26" t="s">
        <v>91</v>
      </c>
    </row>
    <row r="30" spans="1:15" ht="28" x14ac:dyDescent="0.35">
      <c r="A30" s="31" t="s">
        <v>19</v>
      </c>
      <c r="B30" s="31" t="s">
        <v>92</v>
      </c>
      <c r="C30" s="31" t="s">
        <v>93</v>
      </c>
      <c r="D30" s="31" t="s">
        <v>94</v>
      </c>
      <c r="E30" s="31" t="s">
        <v>95</v>
      </c>
      <c r="F30" s="31" t="s">
        <v>96</v>
      </c>
      <c r="G30" s="31" t="s">
        <v>97</v>
      </c>
      <c r="H30" s="31" t="s">
        <v>98</v>
      </c>
      <c r="I30" s="31" t="s">
        <v>99</v>
      </c>
      <c r="J30" s="31" t="s">
        <v>100</v>
      </c>
      <c r="K30" s="31" t="s">
        <v>101</v>
      </c>
      <c r="L30" s="31" t="s">
        <v>102</v>
      </c>
      <c r="M30" s="31"/>
      <c r="N30" s="31" t="s">
        <v>66</v>
      </c>
      <c r="O30" s="31" t="s">
        <v>67</v>
      </c>
    </row>
    <row r="31" spans="1:15" ht="45" customHeight="1" x14ac:dyDescent="0.35">
      <c r="A31" t="s">
        <v>103</v>
      </c>
      <c r="B31" s="27">
        <v>60000</v>
      </c>
      <c r="C31" s="27">
        <v>80000</v>
      </c>
      <c r="D31" s="30">
        <v>3</v>
      </c>
      <c r="E31" s="29">
        <v>0.03</v>
      </c>
      <c r="F31" s="29">
        <v>0.04</v>
      </c>
      <c r="G31" s="28">
        <f>MIN(B31+(C31-B31)*0.5,B31+(C31-B31)*1.25)</f>
        <v>70000</v>
      </c>
      <c r="H31" s="32">
        <f>MAX(D31,9)</f>
        <v>9</v>
      </c>
      <c r="I31" s="33">
        <f>MIN(F31,E31)</f>
        <v>0.03</v>
      </c>
      <c r="J31" s="28">
        <f>MAX(B31+(C31-B31)*0.5,B31+(C31-B31)*1.25)</f>
        <v>85000</v>
      </c>
      <c r="K31" s="32">
        <v>0</v>
      </c>
      <c r="L31" s="33">
        <f>F31</f>
        <v>0.04</v>
      </c>
      <c r="N31" s="25" t="s">
        <v>104</v>
      </c>
      <c r="O31" s="25" t="s">
        <v>105</v>
      </c>
    </row>
    <row r="32" spans="1:15" ht="45" customHeight="1" x14ac:dyDescent="0.35">
      <c r="A32" t="s">
        <v>106</v>
      </c>
      <c r="B32" s="27">
        <v>60000</v>
      </c>
      <c r="C32" s="27">
        <v>80000</v>
      </c>
      <c r="D32" s="30">
        <v>3</v>
      </c>
      <c r="E32" s="29">
        <v>0.03</v>
      </c>
      <c r="F32" s="29">
        <v>0.04</v>
      </c>
      <c r="G32" s="28">
        <f>MIN(B32+(C32-B32)*0.5,B32+(C32-B32)*1.25)</f>
        <v>70000</v>
      </c>
      <c r="H32" s="32">
        <f>MAX(D32,9)</f>
        <v>9</v>
      </c>
      <c r="I32" s="33">
        <f>MIN(F32,E32)</f>
        <v>0.03</v>
      </c>
      <c r="J32" s="28">
        <f>MAX(B32+(C32-B32)*0.5,B32+(C32-B32)*1.25)</f>
        <v>85000</v>
      </c>
      <c r="K32" s="32">
        <v>0</v>
      </c>
      <c r="L32" s="33">
        <f>F32</f>
        <v>0.04</v>
      </c>
      <c r="N32" s="25" t="s">
        <v>107</v>
      </c>
      <c r="O32" s="25" t="s">
        <v>108</v>
      </c>
    </row>
    <row r="33" spans="1:15" ht="45" customHeight="1" x14ac:dyDescent="0.35">
      <c r="A33" t="s">
        <v>109</v>
      </c>
      <c r="B33" s="27">
        <v>60000</v>
      </c>
      <c r="C33" s="27">
        <v>80000</v>
      </c>
      <c r="D33" s="30">
        <v>3</v>
      </c>
      <c r="E33" s="29">
        <v>0.03</v>
      </c>
      <c r="F33" s="29">
        <v>0.04</v>
      </c>
      <c r="G33" s="28">
        <f>MIN(B33+(C33-B33)*0.5,B33+(C33-B33)*1.25)</f>
        <v>70000</v>
      </c>
      <c r="H33" s="32">
        <f>MAX(D33,9)</f>
        <v>9</v>
      </c>
      <c r="I33" s="33">
        <f>MIN(F33,E33)</f>
        <v>0.03</v>
      </c>
      <c r="J33" s="28">
        <f>MAX(B33+(C33-B33)*0.5,B33+(C33-B33)*1.25)</f>
        <v>85000</v>
      </c>
      <c r="K33" s="32">
        <v>0</v>
      </c>
      <c r="L33" s="33">
        <f>F33</f>
        <v>0.04</v>
      </c>
      <c r="N33" s="25" t="s">
        <v>110</v>
      </c>
      <c r="O33" s="25" t="s">
        <v>111</v>
      </c>
    </row>
    <row r="34" spans="1:15" ht="45" customHeight="1" x14ac:dyDescent="0.35">
      <c r="A34" t="s">
        <v>112</v>
      </c>
      <c r="B34" s="27">
        <v>60000</v>
      </c>
      <c r="C34" s="27">
        <v>50000</v>
      </c>
      <c r="D34" s="30">
        <v>12</v>
      </c>
      <c r="E34" s="29">
        <v>0.03</v>
      </c>
      <c r="F34" s="29">
        <v>0.02</v>
      </c>
      <c r="G34" s="28">
        <f>MIN(B34+(C34-B34)*0.5,B34+(C34-B34)*1.25)</f>
        <v>47500</v>
      </c>
      <c r="H34" s="32">
        <f>MAX(D34,9)</f>
        <v>12</v>
      </c>
      <c r="I34" s="33">
        <f>MIN(F34,E34)</f>
        <v>0.02</v>
      </c>
      <c r="J34" s="28">
        <f>MAX(B34+(C34-B34)*0.5,B34+(C34-B34)*1.25)</f>
        <v>55000</v>
      </c>
      <c r="K34" s="32">
        <v>0</v>
      </c>
      <c r="L34" s="33">
        <f>F34</f>
        <v>0.02</v>
      </c>
      <c r="N34" s="25" t="s">
        <v>113</v>
      </c>
      <c r="O34" s="25" t="s">
        <v>114</v>
      </c>
    </row>
    <row r="35" spans="1:15" ht="45" customHeight="1" x14ac:dyDescent="0.35">
      <c r="A35" t="s">
        <v>115</v>
      </c>
      <c r="B35" s="27">
        <v>60000</v>
      </c>
      <c r="C35" s="27">
        <v>80000</v>
      </c>
      <c r="D35" s="30">
        <v>3</v>
      </c>
      <c r="E35" s="29">
        <v>0.03</v>
      </c>
      <c r="F35" s="29">
        <v>0.04</v>
      </c>
      <c r="G35" s="28">
        <f>MIN(B35+(C35-B35)*0.5,B35+(C35-B35)*1.25)</f>
        <v>70000</v>
      </c>
      <c r="H35" s="32">
        <f>MAX(D35,9)</f>
        <v>9</v>
      </c>
      <c r="I35" s="33">
        <f>MIN(F35,E35)</f>
        <v>0.03</v>
      </c>
      <c r="J35" s="28">
        <f>MAX(B35+(C35-B35)*0.5,B35+(C35-B35)*1.25)</f>
        <v>85000</v>
      </c>
      <c r="K35" s="32">
        <v>0</v>
      </c>
      <c r="L35" s="33">
        <f>F35</f>
        <v>0.04</v>
      </c>
      <c r="N35" s="25" t="s">
        <v>116</v>
      </c>
      <c r="O35" s="25" t="s">
        <v>117</v>
      </c>
    </row>
    <row r="38" spans="1:15" x14ac:dyDescent="0.35">
      <c r="A38" s="26" t="s">
        <v>118</v>
      </c>
    </row>
    <row r="39" spans="1:15" ht="28" x14ac:dyDescent="0.35">
      <c r="A39" s="31" t="s">
        <v>19</v>
      </c>
      <c r="B39" s="31" t="s">
        <v>92</v>
      </c>
      <c r="C39" s="31" t="s">
        <v>95</v>
      </c>
      <c r="D39" s="31" t="s">
        <v>119</v>
      </c>
      <c r="E39" s="31" t="s">
        <v>120</v>
      </c>
      <c r="F39" s="31" t="s">
        <v>121</v>
      </c>
      <c r="G39" s="31" t="s">
        <v>59</v>
      </c>
      <c r="H39" s="31" t="s">
        <v>122</v>
      </c>
      <c r="I39" s="31" t="s">
        <v>65</v>
      </c>
      <c r="J39" s="31" t="s">
        <v>123</v>
      </c>
      <c r="K39" s="31" t="s">
        <v>124</v>
      </c>
      <c r="L39" s="31" t="s">
        <v>125</v>
      </c>
      <c r="M39" s="31" t="s">
        <v>126</v>
      </c>
      <c r="N39" s="31" t="s">
        <v>66</v>
      </c>
      <c r="O39" s="31" t="s">
        <v>67</v>
      </c>
    </row>
    <row r="40" spans="1:15" ht="45" customHeight="1" x14ac:dyDescent="0.35">
      <c r="A40" t="s">
        <v>127</v>
      </c>
      <c r="B40" s="27">
        <v>60000</v>
      </c>
      <c r="C40" s="29">
        <v>0.03</v>
      </c>
      <c r="D40" s="29">
        <v>0.25</v>
      </c>
      <c r="E40" s="30">
        <v>4</v>
      </c>
      <c r="F40" s="27">
        <v>40000</v>
      </c>
      <c r="G40" s="27">
        <v>40000</v>
      </c>
      <c r="H40" s="27">
        <v>60000</v>
      </c>
      <c r="I40" s="28">
        <f>(F40-G40)/E40-H40*(1-D40)</f>
        <v>-45000</v>
      </c>
      <c r="J40" s="34">
        <f>-I40-B40*(1-D40)</f>
        <v>0</v>
      </c>
      <c r="K40" s="34">
        <f>J40+(-I40-B40*(1+C40)*(1-D40))</f>
        <v>-1350</v>
      </c>
      <c r="L40" s="34">
        <f>K40+(-I40-B40*(1+C40)^2*(1-D40))</f>
        <v>-4090.5</v>
      </c>
      <c r="M40" s="32">
        <v>7</v>
      </c>
      <c r="N40" s="25" t="s">
        <v>128</v>
      </c>
      <c r="O40" s="25" t="s">
        <v>129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6"/>
  <sheetViews>
    <sheetView zoomScaleNormal="100" workbookViewId="0">
      <pane ySplit="28" topLeftCell="A29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14" width="15" customWidth="1"/>
  </cols>
  <sheetData>
    <row r="1" spans="1:3" ht="16.149999999999999" customHeight="1" x14ac:dyDescent="0.35">
      <c r="A1" s="1" t="s">
        <v>25</v>
      </c>
    </row>
    <row r="2" spans="1:3" ht="15" customHeight="1" x14ac:dyDescent="0.35">
      <c r="A2" s="8" t="s">
        <v>130</v>
      </c>
    </row>
    <row r="4" spans="1:3" ht="15" customHeight="1" x14ac:dyDescent="0.35">
      <c r="A4" s="3" t="s">
        <v>131</v>
      </c>
      <c r="B4" s="3" t="s">
        <v>132</v>
      </c>
    </row>
    <row r="5" spans="1:3" ht="15" customHeight="1" x14ac:dyDescent="0.35">
      <c r="A5" s="2" t="s">
        <v>133</v>
      </c>
      <c r="B5" s="2" t="s">
        <v>92</v>
      </c>
      <c r="C5" s="9">
        <v>60000</v>
      </c>
    </row>
    <row r="6" spans="1:3" ht="15" customHeight="1" x14ac:dyDescent="0.35">
      <c r="A6" s="2" t="s">
        <v>134</v>
      </c>
      <c r="B6" s="2" t="s">
        <v>95</v>
      </c>
      <c r="C6" s="10">
        <v>0.03</v>
      </c>
    </row>
    <row r="7" spans="1:3" ht="15" customHeight="1" x14ac:dyDescent="0.35">
      <c r="A7" s="2" t="s">
        <v>135</v>
      </c>
      <c r="B7" s="2" t="s">
        <v>119</v>
      </c>
      <c r="C7" s="10">
        <v>0.25</v>
      </c>
    </row>
    <row r="8" spans="1:3" ht="15" customHeight="1" x14ac:dyDescent="0.35">
      <c r="A8" s="2" t="s">
        <v>136</v>
      </c>
      <c r="B8" s="2" t="s">
        <v>137</v>
      </c>
      <c r="C8" s="10">
        <v>0.05</v>
      </c>
    </row>
    <row r="9" spans="1:3" ht="15" customHeight="1" x14ac:dyDescent="0.35">
      <c r="A9" s="2" t="s">
        <v>138</v>
      </c>
      <c r="B9" s="2" t="s">
        <v>139</v>
      </c>
      <c r="C9" s="11">
        <v>10</v>
      </c>
    </row>
    <row r="10" spans="1:3" ht="15" customHeight="1" x14ac:dyDescent="0.35">
      <c r="A10" s="2" t="s">
        <v>140</v>
      </c>
      <c r="B10" s="2" t="s">
        <v>141</v>
      </c>
      <c r="C10" s="12">
        <v>1</v>
      </c>
    </row>
    <row r="11" spans="1:3" ht="15" customHeight="1" x14ac:dyDescent="0.35">
      <c r="A11" s="2" t="s">
        <v>142</v>
      </c>
      <c r="B11" s="2" t="s">
        <v>121</v>
      </c>
      <c r="C11" s="9">
        <v>20000</v>
      </c>
    </row>
    <row r="12" spans="1:3" ht="15" customHeight="1" x14ac:dyDescent="0.35">
      <c r="A12" s="2" t="s">
        <v>143</v>
      </c>
      <c r="B12" s="2" t="s">
        <v>58</v>
      </c>
      <c r="C12" s="9">
        <v>0</v>
      </c>
    </row>
    <row r="13" spans="1:3" ht="15" customHeight="1" x14ac:dyDescent="0.35">
      <c r="A13" s="2" t="s">
        <v>144</v>
      </c>
      <c r="B13" s="2" t="s">
        <v>122</v>
      </c>
      <c r="C13" s="9">
        <v>0</v>
      </c>
    </row>
    <row r="14" spans="1:3" ht="15" customHeight="1" x14ac:dyDescent="0.35">
      <c r="A14" s="2" t="s">
        <v>145</v>
      </c>
      <c r="B14" s="2" t="s">
        <v>49</v>
      </c>
      <c r="C14" s="9">
        <v>0</v>
      </c>
    </row>
    <row r="15" spans="1:3" ht="15" customHeight="1" x14ac:dyDescent="0.35">
      <c r="A15" s="2" t="s">
        <v>146</v>
      </c>
      <c r="B15" s="2" t="s">
        <v>147</v>
      </c>
      <c r="C15" s="11">
        <v>3</v>
      </c>
    </row>
    <row r="16" spans="1:3" ht="15" customHeight="1" x14ac:dyDescent="0.35">
      <c r="A16" s="2" t="s">
        <v>148</v>
      </c>
      <c r="B16" s="2" t="s">
        <v>149</v>
      </c>
      <c r="C16" s="9">
        <v>95000</v>
      </c>
    </row>
    <row r="17" spans="1:14" ht="15" customHeight="1" x14ac:dyDescent="0.35">
      <c r="A17" s="2" t="s">
        <v>150</v>
      </c>
      <c r="B17" s="2" t="s">
        <v>151</v>
      </c>
      <c r="C17" s="10">
        <v>0.04</v>
      </c>
    </row>
    <row r="18" spans="1:14" ht="15" customHeight="1" x14ac:dyDescent="0.35">
      <c r="A18" s="2" t="s">
        <v>152</v>
      </c>
      <c r="B18" s="2" t="s">
        <v>59</v>
      </c>
      <c r="C18" s="9">
        <v>20000</v>
      </c>
    </row>
    <row r="19" spans="1:14" ht="15" customHeight="1" x14ac:dyDescent="0.35">
      <c r="A19" s="2" t="s">
        <v>153</v>
      </c>
      <c r="B19" s="2" t="s">
        <v>154</v>
      </c>
      <c r="C19" s="10">
        <v>0.08</v>
      </c>
    </row>
    <row r="20" spans="1:14" ht="15" customHeight="1" x14ac:dyDescent="0.35">
      <c r="A20" s="2" t="s">
        <v>155</v>
      </c>
      <c r="B20" s="2" t="s">
        <v>156</v>
      </c>
      <c r="C20" s="11">
        <v>10</v>
      </c>
    </row>
    <row r="22" spans="1:14" ht="15" customHeight="1" x14ac:dyDescent="0.35">
      <c r="A22" s="3" t="s">
        <v>157</v>
      </c>
    </row>
    <row r="23" spans="1:14" ht="15" customHeight="1" x14ac:dyDescent="0.35">
      <c r="A23" t="s">
        <v>158</v>
      </c>
      <c r="B23" t="s">
        <v>159</v>
      </c>
      <c r="C23" s="13">
        <f>IF($C$18=0,0,$C$18*$C$19/(1-(1+$C$19)^(-$C$20)))</f>
        <v>2980.5897739415068</v>
      </c>
    </row>
    <row r="24" spans="1:14" ht="15" customHeight="1" x14ac:dyDescent="0.35">
      <c r="A24" t="s">
        <v>160</v>
      </c>
      <c r="B24" t="s">
        <v>161</v>
      </c>
      <c r="C24" s="14">
        <f>$C$10+$C$15/12</f>
        <v>1.25</v>
      </c>
    </row>
    <row r="25" spans="1:14" ht="15" customHeight="1" x14ac:dyDescent="0.35">
      <c r="A25" t="s">
        <v>162</v>
      </c>
      <c r="B25" t="s">
        <v>163</v>
      </c>
      <c r="C25" s="15">
        <f>INT($C$24)+1</f>
        <v>2</v>
      </c>
    </row>
    <row r="26" spans="1:14" ht="15" customHeight="1" x14ac:dyDescent="0.35">
      <c r="A26" t="s">
        <v>164</v>
      </c>
      <c r="B26" t="s">
        <v>65</v>
      </c>
      <c r="C26" s="13">
        <f>($C$11-$C$12-$C$18)/$C$10+$C$14-$C$13*(1-$C$7)</f>
        <v>0</v>
      </c>
    </row>
    <row r="28" spans="1:14" ht="42" customHeight="1" x14ac:dyDescent="0.35">
      <c r="A28" s="16" t="s">
        <v>165</v>
      </c>
      <c r="B28" s="16" t="s">
        <v>166</v>
      </c>
      <c r="C28" s="16" t="s">
        <v>167</v>
      </c>
      <c r="D28" s="16" t="s">
        <v>168</v>
      </c>
      <c r="E28" s="16" t="s">
        <v>169</v>
      </c>
      <c r="F28" s="16" t="s">
        <v>170</v>
      </c>
      <c r="G28" s="16" t="s">
        <v>171</v>
      </c>
      <c r="H28" s="16" t="s">
        <v>172</v>
      </c>
      <c r="I28" s="16" t="s">
        <v>173</v>
      </c>
      <c r="J28" s="16" t="s">
        <v>174</v>
      </c>
      <c r="K28" s="16" t="s">
        <v>175</v>
      </c>
      <c r="L28" s="16" t="s">
        <v>176</v>
      </c>
      <c r="M28" s="16" t="s">
        <v>177</v>
      </c>
      <c r="N28" s="16" t="s">
        <v>178</v>
      </c>
    </row>
    <row r="29" spans="1:14" ht="15" customHeight="1" x14ac:dyDescent="0.35">
      <c r="A29" s="17">
        <v>1</v>
      </c>
      <c r="B29" s="5">
        <f t="shared" ref="B29:B48" si="0">IF(A29&lt;=$C$9,1,0)</f>
        <v>1</v>
      </c>
      <c r="C29" s="18">
        <f t="shared" ref="C29:C48" si="1">MAX(0,MIN(1,$C$10-(A29-1)))</f>
        <v>1</v>
      </c>
      <c r="D29" s="18">
        <f t="shared" ref="D29:D48" si="2">MAX(0,MIN(1,A29-$C$24))</f>
        <v>0</v>
      </c>
      <c r="E29" s="18">
        <f t="shared" ref="E29:E48" si="3">MAX(0,A29-$C$25)</f>
        <v>0</v>
      </c>
      <c r="F29" s="18">
        <f t="shared" ref="F29:F48" si="4">MAX(0,MIN(A29,$C$10+$C$20)-MAX(A29-1,$C$10))</f>
        <v>0</v>
      </c>
      <c r="G29" s="19">
        <f t="shared" ref="G29:G48" si="5">$C$5*(1+$C$6)^(A29-1)*(1-$C$7)</f>
        <v>45000</v>
      </c>
      <c r="H29" s="19">
        <f t="shared" ref="H29:H48" si="6">-$C$26*C29+$C$16*(1+$C$17)^E29*(1-$C$7)*D29-$C$23*F29</f>
        <v>0</v>
      </c>
      <c r="I29" s="19">
        <f t="shared" ref="I29:I48" si="7">H29-G29</f>
        <v>-45000</v>
      </c>
      <c r="J29" s="19">
        <f>I29</f>
        <v>-45000</v>
      </c>
      <c r="K29" s="18">
        <f t="shared" ref="K29:K48" si="8">1/(1+$C$8)^A29</f>
        <v>0.95238095238095233</v>
      </c>
      <c r="L29" s="19">
        <f t="shared" ref="L29:L48" si="9">I29*K29*B29</f>
        <v>-42857.142857142855</v>
      </c>
      <c r="M29" s="20">
        <f t="shared" ref="M29:M48" si="10">(1+$C$17)^E29*(1-$C$7)*D29*K29*B29</f>
        <v>0</v>
      </c>
      <c r="N29" s="17">
        <f t="shared" ref="N29:N48" si="11">IF(AND(B29=1,COUNTIFS($A$29:$A$48,"&gt;="&amp;A29,$B$29:$B$48,1,$J$29:$J$48,"&lt;0")=0),A29,999)</f>
        <v>999</v>
      </c>
    </row>
    <row r="30" spans="1:14" ht="15" customHeight="1" x14ac:dyDescent="0.35">
      <c r="A30" s="17">
        <v>2</v>
      </c>
      <c r="B30" s="5">
        <f t="shared" si="0"/>
        <v>1</v>
      </c>
      <c r="C30" s="18">
        <f t="shared" si="1"/>
        <v>0</v>
      </c>
      <c r="D30" s="18">
        <f t="shared" si="2"/>
        <v>0.75</v>
      </c>
      <c r="E30" s="18">
        <f t="shared" si="3"/>
        <v>0</v>
      </c>
      <c r="F30" s="18">
        <f t="shared" si="4"/>
        <v>1</v>
      </c>
      <c r="G30" s="19">
        <f t="shared" si="5"/>
        <v>46350</v>
      </c>
      <c r="H30" s="19">
        <f t="shared" si="6"/>
        <v>50456.910226058491</v>
      </c>
      <c r="I30" s="19">
        <f t="shared" si="7"/>
        <v>4106.9102260584914</v>
      </c>
      <c r="J30" s="19">
        <f t="shared" ref="J30:J48" si="12">J29+I30</f>
        <v>-40893.089773941509</v>
      </c>
      <c r="K30" s="18">
        <f t="shared" si="8"/>
        <v>0.90702947845804982</v>
      </c>
      <c r="L30" s="19">
        <f t="shared" si="9"/>
        <v>3725.088640415865</v>
      </c>
      <c r="M30" s="20">
        <f t="shared" si="10"/>
        <v>0.51020408163265307</v>
      </c>
      <c r="N30" s="17">
        <f t="shared" si="11"/>
        <v>999</v>
      </c>
    </row>
    <row r="31" spans="1:14" ht="15" customHeight="1" x14ac:dyDescent="0.35">
      <c r="A31" s="17">
        <v>3</v>
      </c>
      <c r="B31" s="5">
        <f t="shared" si="0"/>
        <v>1</v>
      </c>
      <c r="C31" s="18">
        <f t="shared" si="1"/>
        <v>0</v>
      </c>
      <c r="D31" s="18">
        <f t="shared" si="2"/>
        <v>1</v>
      </c>
      <c r="E31" s="18">
        <f t="shared" si="3"/>
        <v>1</v>
      </c>
      <c r="F31" s="18">
        <f t="shared" si="4"/>
        <v>1</v>
      </c>
      <c r="G31" s="19">
        <f t="shared" si="5"/>
        <v>47740.5</v>
      </c>
      <c r="H31" s="19">
        <f t="shared" si="6"/>
        <v>71119.410226058491</v>
      </c>
      <c r="I31" s="19">
        <f t="shared" si="7"/>
        <v>23378.910226058491</v>
      </c>
      <c r="J31" s="19">
        <f t="shared" si="12"/>
        <v>-17514.179547883017</v>
      </c>
      <c r="K31" s="18">
        <f t="shared" si="8"/>
        <v>0.86383759853147601</v>
      </c>
      <c r="L31" s="19">
        <f t="shared" si="9"/>
        <v>20195.581665961334</v>
      </c>
      <c r="M31" s="20">
        <f t="shared" si="10"/>
        <v>0.67379332685455129</v>
      </c>
      <c r="N31" s="17">
        <f t="shared" si="11"/>
        <v>999</v>
      </c>
    </row>
    <row r="32" spans="1:14" ht="15" customHeight="1" x14ac:dyDescent="0.35">
      <c r="A32" s="17">
        <v>4</v>
      </c>
      <c r="B32" s="5">
        <f t="shared" si="0"/>
        <v>1</v>
      </c>
      <c r="C32" s="18">
        <f t="shared" si="1"/>
        <v>0</v>
      </c>
      <c r="D32" s="18">
        <f t="shared" si="2"/>
        <v>1</v>
      </c>
      <c r="E32" s="18">
        <f t="shared" si="3"/>
        <v>2</v>
      </c>
      <c r="F32" s="18">
        <f t="shared" si="4"/>
        <v>1</v>
      </c>
      <c r="G32" s="19">
        <f t="shared" si="5"/>
        <v>49172.714999999997</v>
      </c>
      <c r="H32" s="19">
        <f t="shared" si="6"/>
        <v>74083.410226058506</v>
      </c>
      <c r="I32" s="19">
        <f t="shared" si="7"/>
        <v>24910.695226058509</v>
      </c>
      <c r="J32" s="19">
        <f t="shared" si="12"/>
        <v>7396.5156781754922</v>
      </c>
      <c r="K32" s="18">
        <f t="shared" si="8"/>
        <v>0.82270247479188197</v>
      </c>
      <c r="L32" s="19">
        <f t="shared" si="9"/>
        <v>20494.090611264655</v>
      </c>
      <c r="M32" s="20">
        <f t="shared" si="10"/>
        <v>0.66737624755117475</v>
      </c>
      <c r="N32" s="17">
        <f t="shared" si="11"/>
        <v>4</v>
      </c>
    </row>
    <row r="33" spans="1:14" ht="15" customHeight="1" x14ac:dyDescent="0.35">
      <c r="A33" s="17">
        <v>5</v>
      </c>
      <c r="B33" s="5">
        <f t="shared" si="0"/>
        <v>1</v>
      </c>
      <c r="C33" s="18">
        <f t="shared" si="1"/>
        <v>0</v>
      </c>
      <c r="D33" s="18">
        <f t="shared" si="2"/>
        <v>1</v>
      </c>
      <c r="E33" s="18">
        <f t="shared" si="3"/>
        <v>3</v>
      </c>
      <c r="F33" s="18">
        <f t="shared" si="4"/>
        <v>1</v>
      </c>
      <c r="G33" s="19">
        <f t="shared" si="5"/>
        <v>50647.896449999993</v>
      </c>
      <c r="H33" s="19">
        <f t="shared" si="6"/>
        <v>77165.970226058489</v>
      </c>
      <c r="I33" s="19">
        <f t="shared" si="7"/>
        <v>26518.073776058496</v>
      </c>
      <c r="J33" s="19">
        <f t="shared" si="12"/>
        <v>33914.589454233988</v>
      </c>
      <c r="K33" s="18">
        <f t="shared" si="8"/>
        <v>0.78352616646845896</v>
      </c>
      <c r="L33" s="19">
        <f t="shared" si="9"/>
        <v>20777.604687882886</v>
      </c>
      <c r="M33" s="20">
        <f t="shared" si="10"/>
        <v>0.66102028328878248</v>
      </c>
      <c r="N33" s="17">
        <f t="shared" si="11"/>
        <v>5</v>
      </c>
    </row>
    <row r="34" spans="1:14" ht="15" customHeight="1" x14ac:dyDescent="0.35">
      <c r="A34" s="17">
        <v>6</v>
      </c>
      <c r="B34" s="5">
        <f t="shared" si="0"/>
        <v>1</v>
      </c>
      <c r="C34" s="18">
        <f t="shared" si="1"/>
        <v>0</v>
      </c>
      <c r="D34" s="18">
        <f t="shared" si="2"/>
        <v>1</v>
      </c>
      <c r="E34" s="18">
        <f t="shared" si="3"/>
        <v>4</v>
      </c>
      <c r="F34" s="18">
        <f t="shared" si="4"/>
        <v>1</v>
      </c>
      <c r="G34" s="19">
        <f t="shared" si="5"/>
        <v>52167.333343499988</v>
      </c>
      <c r="H34" s="19">
        <f t="shared" si="6"/>
        <v>80371.832626058502</v>
      </c>
      <c r="I34" s="19">
        <f t="shared" si="7"/>
        <v>28204.499282558514</v>
      </c>
      <c r="J34" s="19">
        <f t="shared" si="12"/>
        <v>62119.088736792502</v>
      </c>
      <c r="K34" s="18">
        <f t="shared" si="8"/>
        <v>0.74621539663662761</v>
      </c>
      <c r="L34" s="19">
        <f t="shared" si="9"/>
        <v>21046.631619071879</v>
      </c>
      <c r="M34" s="20">
        <f t="shared" si="10"/>
        <v>0.65472485201936559</v>
      </c>
      <c r="N34" s="17">
        <f t="shared" si="11"/>
        <v>6</v>
      </c>
    </row>
    <row r="35" spans="1:14" ht="15" customHeight="1" x14ac:dyDescent="0.35">
      <c r="A35" s="17">
        <v>7</v>
      </c>
      <c r="B35" s="5">
        <f t="shared" si="0"/>
        <v>1</v>
      </c>
      <c r="C35" s="18">
        <f t="shared" si="1"/>
        <v>0</v>
      </c>
      <c r="D35" s="18">
        <f t="shared" si="2"/>
        <v>1</v>
      </c>
      <c r="E35" s="18">
        <f t="shared" si="3"/>
        <v>5</v>
      </c>
      <c r="F35" s="18">
        <f t="shared" si="4"/>
        <v>1</v>
      </c>
      <c r="G35" s="19">
        <f t="shared" si="5"/>
        <v>53732.353343804993</v>
      </c>
      <c r="H35" s="19">
        <f t="shared" si="6"/>
        <v>83705.929522058519</v>
      </c>
      <c r="I35" s="19">
        <f t="shared" si="7"/>
        <v>29973.576178253526</v>
      </c>
      <c r="J35" s="19">
        <f t="shared" si="12"/>
        <v>92092.664915046029</v>
      </c>
      <c r="K35" s="18">
        <f t="shared" si="8"/>
        <v>0.71068133013012147</v>
      </c>
      <c r="L35" s="19">
        <f t="shared" si="9"/>
        <v>21301.660987117739</v>
      </c>
      <c r="M35" s="20">
        <f t="shared" si="10"/>
        <v>0.64848937723822886</v>
      </c>
      <c r="N35" s="17">
        <f t="shared" si="11"/>
        <v>7</v>
      </c>
    </row>
    <row r="36" spans="1:14" ht="15" customHeight="1" x14ac:dyDescent="0.35">
      <c r="A36" s="17">
        <v>8</v>
      </c>
      <c r="B36" s="5">
        <f t="shared" si="0"/>
        <v>1</v>
      </c>
      <c r="C36" s="18">
        <f t="shared" si="1"/>
        <v>0</v>
      </c>
      <c r="D36" s="18">
        <f t="shared" si="2"/>
        <v>1</v>
      </c>
      <c r="E36" s="18">
        <f t="shared" si="3"/>
        <v>6</v>
      </c>
      <c r="F36" s="18">
        <f t="shared" si="4"/>
        <v>1</v>
      </c>
      <c r="G36" s="19">
        <f t="shared" si="5"/>
        <v>55344.323944119154</v>
      </c>
      <c r="H36" s="19">
        <f t="shared" si="6"/>
        <v>87173.390293898512</v>
      </c>
      <c r="I36" s="19">
        <f t="shared" si="7"/>
        <v>31829.066349779358</v>
      </c>
      <c r="J36" s="19">
        <f t="shared" si="12"/>
        <v>123921.73126482539</v>
      </c>
      <c r="K36" s="18">
        <f t="shared" si="8"/>
        <v>0.67683936202868722</v>
      </c>
      <c r="L36" s="19">
        <f t="shared" si="9"/>
        <v>21543.164962153416</v>
      </c>
      <c r="M36" s="20">
        <f t="shared" si="10"/>
        <v>0.64231328793119824</v>
      </c>
      <c r="N36" s="17">
        <f t="shared" si="11"/>
        <v>8</v>
      </c>
    </row>
    <row r="37" spans="1:14" ht="15" customHeight="1" x14ac:dyDescent="0.35">
      <c r="A37" s="17">
        <v>9</v>
      </c>
      <c r="B37" s="5">
        <f t="shared" si="0"/>
        <v>1</v>
      </c>
      <c r="C37" s="18">
        <f t="shared" si="1"/>
        <v>0</v>
      </c>
      <c r="D37" s="18">
        <f t="shared" si="2"/>
        <v>1</v>
      </c>
      <c r="E37" s="18">
        <f t="shared" si="3"/>
        <v>7</v>
      </c>
      <c r="F37" s="18">
        <f t="shared" si="4"/>
        <v>1</v>
      </c>
      <c r="G37" s="19">
        <f t="shared" si="5"/>
        <v>57004.653662442717</v>
      </c>
      <c r="H37" s="19">
        <f t="shared" si="6"/>
        <v>90779.549496612104</v>
      </c>
      <c r="I37" s="19">
        <f t="shared" si="7"/>
        <v>33774.895834169387</v>
      </c>
      <c r="J37" s="19">
        <f t="shared" si="12"/>
        <v>157696.62709899477</v>
      </c>
      <c r="K37" s="18">
        <f t="shared" si="8"/>
        <v>0.64460891621779726</v>
      </c>
      <c r="L37" s="19">
        <f t="shared" si="9"/>
        <v>21771.598999032925</v>
      </c>
      <c r="M37" s="20">
        <f t="shared" si="10"/>
        <v>0.63619601852232943</v>
      </c>
      <c r="N37" s="17">
        <f t="shared" si="11"/>
        <v>9</v>
      </c>
    </row>
    <row r="38" spans="1:14" ht="15" customHeight="1" x14ac:dyDescent="0.35">
      <c r="A38" s="17">
        <v>10</v>
      </c>
      <c r="B38" s="5">
        <f t="shared" si="0"/>
        <v>1</v>
      </c>
      <c r="C38" s="18">
        <f t="shared" si="1"/>
        <v>0</v>
      </c>
      <c r="D38" s="18">
        <f t="shared" si="2"/>
        <v>1</v>
      </c>
      <c r="E38" s="18">
        <f t="shared" si="3"/>
        <v>8</v>
      </c>
      <c r="F38" s="18">
        <f t="shared" si="4"/>
        <v>1</v>
      </c>
      <c r="G38" s="19">
        <f t="shared" si="5"/>
        <v>58714.793272316005</v>
      </c>
      <c r="H38" s="19">
        <f t="shared" si="6"/>
        <v>94529.955067434275</v>
      </c>
      <c r="I38" s="19">
        <f t="shared" si="7"/>
        <v>35815.161795118271</v>
      </c>
      <c r="J38" s="19">
        <f t="shared" si="12"/>
        <v>193511.78889411304</v>
      </c>
      <c r="K38" s="18">
        <f t="shared" si="8"/>
        <v>0.61391325354075932</v>
      </c>
      <c r="L38" s="19">
        <f t="shared" si="9"/>
        <v>21987.402503729758</v>
      </c>
      <c r="M38" s="20">
        <f t="shared" si="10"/>
        <v>0.63013700882211698</v>
      </c>
      <c r="N38" s="17">
        <f t="shared" si="11"/>
        <v>10</v>
      </c>
    </row>
    <row r="39" spans="1:14" ht="15" customHeight="1" x14ac:dyDescent="0.35">
      <c r="A39" s="17">
        <v>11</v>
      </c>
      <c r="B39" s="5">
        <f t="shared" si="0"/>
        <v>0</v>
      </c>
      <c r="C39" s="18">
        <f t="shared" si="1"/>
        <v>0</v>
      </c>
      <c r="D39" s="18">
        <f t="shared" si="2"/>
        <v>1</v>
      </c>
      <c r="E39" s="18">
        <f t="shared" si="3"/>
        <v>9</v>
      </c>
      <c r="F39" s="18">
        <f t="shared" si="4"/>
        <v>1</v>
      </c>
      <c r="G39" s="19">
        <f t="shared" si="5"/>
        <v>60476.237070485484</v>
      </c>
      <c r="H39" s="19">
        <f t="shared" si="6"/>
        <v>98430.376861089317</v>
      </c>
      <c r="I39" s="19">
        <f t="shared" si="7"/>
        <v>37954.139790603833</v>
      </c>
      <c r="J39" s="19">
        <f t="shared" si="12"/>
        <v>231465.92868471687</v>
      </c>
      <c r="K39" s="18">
        <f t="shared" si="8"/>
        <v>0.5846792890864374</v>
      </c>
      <c r="L39" s="19">
        <f t="shared" si="9"/>
        <v>0</v>
      </c>
      <c r="M39" s="20">
        <f t="shared" si="10"/>
        <v>0</v>
      </c>
      <c r="N39" s="17">
        <f t="shared" si="11"/>
        <v>999</v>
      </c>
    </row>
    <row r="40" spans="1:14" ht="15" customHeight="1" x14ac:dyDescent="0.35">
      <c r="A40" s="17">
        <v>12</v>
      </c>
      <c r="B40" s="5">
        <f t="shared" si="0"/>
        <v>0</v>
      </c>
      <c r="C40" s="18">
        <f t="shared" si="1"/>
        <v>0</v>
      </c>
      <c r="D40" s="18">
        <f t="shared" si="2"/>
        <v>1</v>
      </c>
      <c r="E40" s="18">
        <f t="shared" si="3"/>
        <v>10</v>
      </c>
      <c r="F40" s="18">
        <f t="shared" si="4"/>
        <v>0</v>
      </c>
      <c r="G40" s="19">
        <f t="shared" si="5"/>
        <v>62290.524182600049</v>
      </c>
      <c r="H40" s="19">
        <f t="shared" si="6"/>
        <v>105467.40530043206</v>
      </c>
      <c r="I40" s="19">
        <f t="shared" si="7"/>
        <v>43176.88111783201</v>
      </c>
      <c r="J40" s="19">
        <f t="shared" si="12"/>
        <v>274642.8098025489</v>
      </c>
      <c r="K40" s="18">
        <f t="shared" si="8"/>
        <v>0.5568374181775595</v>
      </c>
      <c r="L40" s="19">
        <f t="shared" si="9"/>
        <v>0</v>
      </c>
      <c r="M40" s="20">
        <f t="shared" si="10"/>
        <v>0</v>
      </c>
      <c r="N40" s="17">
        <f t="shared" si="11"/>
        <v>999</v>
      </c>
    </row>
    <row r="41" spans="1:14" ht="15" customHeight="1" x14ac:dyDescent="0.35">
      <c r="A41" s="17">
        <v>13</v>
      </c>
      <c r="B41" s="5">
        <f t="shared" si="0"/>
        <v>0</v>
      </c>
      <c r="C41" s="18">
        <f t="shared" si="1"/>
        <v>0</v>
      </c>
      <c r="D41" s="18">
        <f t="shared" si="2"/>
        <v>1</v>
      </c>
      <c r="E41" s="18">
        <f t="shared" si="3"/>
        <v>11</v>
      </c>
      <c r="F41" s="18">
        <f t="shared" si="4"/>
        <v>0</v>
      </c>
      <c r="G41" s="19">
        <f t="shared" si="5"/>
        <v>64159.239908078038</v>
      </c>
      <c r="H41" s="19">
        <f t="shared" si="6"/>
        <v>109686.10151244933</v>
      </c>
      <c r="I41" s="19">
        <f t="shared" si="7"/>
        <v>45526.86160437129</v>
      </c>
      <c r="J41" s="19">
        <f t="shared" si="12"/>
        <v>320169.67140692018</v>
      </c>
      <c r="K41" s="18">
        <f t="shared" si="8"/>
        <v>0.53032135064529462</v>
      </c>
      <c r="L41" s="19">
        <f t="shared" si="9"/>
        <v>0</v>
      </c>
      <c r="M41" s="20">
        <f t="shared" si="10"/>
        <v>0</v>
      </c>
      <c r="N41" s="17">
        <f t="shared" si="11"/>
        <v>999</v>
      </c>
    </row>
    <row r="42" spans="1:14" ht="15" customHeight="1" x14ac:dyDescent="0.35">
      <c r="A42" s="17">
        <v>14</v>
      </c>
      <c r="B42" s="5">
        <f t="shared" si="0"/>
        <v>0</v>
      </c>
      <c r="C42" s="18">
        <f t="shared" si="1"/>
        <v>0</v>
      </c>
      <c r="D42" s="18">
        <f t="shared" si="2"/>
        <v>1</v>
      </c>
      <c r="E42" s="18">
        <f t="shared" si="3"/>
        <v>12</v>
      </c>
      <c r="F42" s="18">
        <f t="shared" si="4"/>
        <v>0</v>
      </c>
      <c r="G42" s="19">
        <f t="shared" si="5"/>
        <v>66084.017105320381</v>
      </c>
      <c r="H42" s="19">
        <f t="shared" si="6"/>
        <v>114073.54557294733</v>
      </c>
      <c r="I42" s="19">
        <f t="shared" si="7"/>
        <v>47989.528467626951</v>
      </c>
      <c r="J42" s="19">
        <f t="shared" si="12"/>
        <v>368159.19987454714</v>
      </c>
      <c r="K42" s="18">
        <f t="shared" si="8"/>
        <v>0.50506795299551888</v>
      </c>
      <c r="L42" s="19">
        <f t="shared" si="9"/>
        <v>0</v>
      </c>
      <c r="M42" s="20">
        <f t="shared" si="10"/>
        <v>0</v>
      </c>
      <c r="N42" s="17">
        <f t="shared" si="11"/>
        <v>999</v>
      </c>
    </row>
    <row r="43" spans="1:14" ht="15" customHeight="1" x14ac:dyDescent="0.35">
      <c r="A43" s="17">
        <v>15</v>
      </c>
      <c r="B43" s="5">
        <f t="shared" si="0"/>
        <v>0</v>
      </c>
      <c r="C43" s="18">
        <f t="shared" si="1"/>
        <v>0</v>
      </c>
      <c r="D43" s="18">
        <f t="shared" si="2"/>
        <v>1</v>
      </c>
      <c r="E43" s="18">
        <f t="shared" si="3"/>
        <v>13</v>
      </c>
      <c r="F43" s="18">
        <f t="shared" si="4"/>
        <v>0</v>
      </c>
      <c r="G43" s="19">
        <f t="shared" si="5"/>
        <v>68066.537618479997</v>
      </c>
      <c r="H43" s="19">
        <f t="shared" si="6"/>
        <v>118636.48739586523</v>
      </c>
      <c r="I43" s="19">
        <f t="shared" si="7"/>
        <v>50569.949777385234</v>
      </c>
      <c r="J43" s="19">
        <f t="shared" si="12"/>
        <v>418729.14965193236</v>
      </c>
      <c r="K43" s="18">
        <f t="shared" si="8"/>
        <v>0.48101709809097021</v>
      </c>
      <c r="L43" s="19">
        <f t="shared" si="9"/>
        <v>0</v>
      </c>
      <c r="M43" s="20">
        <f t="shared" si="10"/>
        <v>0</v>
      </c>
      <c r="N43" s="17">
        <f t="shared" si="11"/>
        <v>999</v>
      </c>
    </row>
    <row r="44" spans="1:14" ht="15" customHeight="1" x14ac:dyDescent="0.35">
      <c r="A44" s="17">
        <v>16</v>
      </c>
      <c r="B44" s="5">
        <f t="shared" si="0"/>
        <v>0</v>
      </c>
      <c r="C44" s="18">
        <f t="shared" si="1"/>
        <v>0</v>
      </c>
      <c r="D44" s="18">
        <f t="shared" si="2"/>
        <v>1</v>
      </c>
      <c r="E44" s="18">
        <f t="shared" si="3"/>
        <v>14</v>
      </c>
      <c r="F44" s="18">
        <f t="shared" si="4"/>
        <v>0</v>
      </c>
      <c r="G44" s="19">
        <f t="shared" si="5"/>
        <v>70108.533747034395</v>
      </c>
      <c r="H44" s="19">
        <f t="shared" si="6"/>
        <v>123381.94689169983</v>
      </c>
      <c r="I44" s="19">
        <f t="shared" si="7"/>
        <v>53273.413144665436</v>
      </c>
      <c r="J44" s="19">
        <f t="shared" si="12"/>
        <v>472002.56279659778</v>
      </c>
      <c r="K44" s="18">
        <f t="shared" si="8"/>
        <v>0.45811152199140021</v>
      </c>
      <c r="L44" s="19">
        <f t="shared" si="9"/>
        <v>0</v>
      </c>
      <c r="M44" s="20">
        <f t="shared" si="10"/>
        <v>0</v>
      </c>
      <c r="N44" s="17">
        <f t="shared" si="11"/>
        <v>999</v>
      </c>
    </row>
    <row r="45" spans="1:14" ht="15" customHeight="1" x14ac:dyDescent="0.35">
      <c r="A45" s="17">
        <v>17</v>
      </c>
      <c r="B45" s="5">
        <f t="shared" si="0"/>
        <v>0</v>
      </c>
      <c r="C45" s="18">
        <f t="shared" si="1"/>
        <v>0</v>
      </c>
      <c r="D45" s="18">
        <f t="shared" si="2"/>
        <v>1</v>
      </c>
      <c r="E45" s="18">
        <f t="shared" si="3"/>
        <v>15</v>
      </c>
      <c r="F45" s="18">
        <f t="shared" si="4"/>
        <v>0</v>
      </c>
      <c r="G45" s="19">
        <f t="shared" si="5"/>
        <v>72211.789759445412</v>
      </c>
      <c r="H45" s="19">
        <f t="shared" si="6"/>
        <v>128317.22476736781</v>
      </c>
      <c r="I45" s="19">
        <f t="shared" si="7"/>
        <v>56105.435007922395</v>
      </c>
      <c r="J45" s="19">
        <f t="shared" si="12"/>
        <v>528107.99780452019</v>
      </c>
      <c r="K45" s="18">
        <f t="shared" si="8"/>
        <v>0.43629668761085727</v>
      </c>
      <c r="L45" s="19">
        <f t="shared" si="9"/>
        <v>0</v>
      </c>
      <c r="M45" s="20">
        <f t="shared" si="10"/>
        <v>0</v>
      </c>
      <c r="N45" s="17">
        <f t="shared" si="11"/>
        <v>999</v>
      </c>
    </row>
    <row r="46" spans="1:14" ht="15" customHeight="1" x14ac:dyDescent="0.35">
      <c r="A46" s="17">
        <v>18</v>
      </c>
      <c r="B46" s="5">
        <f t="shared" si="0"/>
        <v>0</v>
      </c>
      <c r="C46" s="18">
        <f t="shared" si="1"/>
        <v>0</v>
      </c>
      <c r="D46" s="18">
        <f t="shared" si="2"/>
        <v>1</v>
      </c>
      <c r="E46" s="18">
        <f t="shared" si="3"/>
        <v>16</v>
      </c>
      <c r="F46" s="18">
        <f t="shared" si="4"/>
        <v>0</v>
      </c>
      <c r="G46" s="19">
        <f t="shared" si="5"/>
        <v>74378.143452228775</v>
      </c>
      <c r="H46" s="19">
        <f t="shared" si="6"/>
        <v>133449.91375806255</v>
      </c>
      <c r="I46" s="19">
        <f t="shared" si="7"/>
        <v>59071.770305833779</v>
      </c>
      <c r="J46" s="19">
        <f t="shared" si="12"/>
        <v>587179.76811035397</v>
      </c>
      <c r="K46" s="18">
        <f t="shared" si="8"/>
        <v>0.41552065486748313</v>
      </c>
      <c r="L46" s="19">
        <f t="shared" si="9"/>
        <v>0</v>
      </c>
      <c r="M46" s="20">
        <f t="shared" si="10"/>
        <v>0</v>
      </c>
      <c r="N46" s="17">
        <f t="shared" si="11"/>
        <v>999</v>
      </c>
    </row>
    <row r="47" spans="1:14" ht="15" customHeight="1" x14ac:dyDescent="0.35">
      <c r="A47" s="17">
        <v>19</v>
      </c>
      <c r="B47" s="5">
        <f t="shared" si="0"/>
        <v>0</v>
      </c>
      <c r="C47" s="18">
        <f t="shared" si="1"/>
        <v>0</v>
      </c>
      <c r="D47" s="18">
        <f t="shared" si="2"/>
        <v>1</v>
      </c>
      <c r="E47" s="18">
        <f t="shared" si="3"/>
        <v>17</v>
      </c>
      <c r="F47" s="18">
        <f t="shared" si="4"/>
        <v>0</v>
      </c>
      <c r="G47" s="19">
        <f t="shared" si="5"/>
        <v>76609.48775579565</v>
      </c>
      <c r="H47" s="19">
        <f t="shared" si="6"/>
        <v>138787.91030838506</v>
      </c>
      <c r="I47" s="19">
        <f t="shared" si="7"/>
        <v>62178.422552589414</v>
      </c>
      <c r="J47" s="19">
        <f t="shared" si="12"/>
        <v>649358.19066294341</v>
      </c>
      <c r="K47" s="18">
        <f t="shared" si="8"/>
        <v>0.39573395701665059</v>
      </c>
      <c r="L47" s="19">
        <f t="shared" si="9"/>
        <v>0</v>
      </c>
      <c r="M47" s="20">
        <f t="shared" si="10"/>
        <v>0</v>
      </c>
      <c r="N47" s="17">
        <f t="shared" si="11"/>
        <v>999</v>
      </c>
    </row>
    <row r="48" spans="1:14" ht="15" customHeight="1" x14ac:dyDescent="0.35">
      <c r="A48" s="17">
        <v>20</v>
      </c>
      <c r="B48" s="5">
        <f t="shared" si="0"/>
        <v>0</v>
      </c>
      <c r="C48" s="18">
        <f t="shared" si="1"/>
        <v>0</v>
      </c>
      <c r="D48" s="18">
        <f t="shared" si="2"/>
        <v>1</v>
      </c>
      <c r="E48" s="18">
        <f t="shared" si="3"/>
        <v>18</v>
      </c>
      <c r="F48" s="18">
        <f t="shared" si="4"/>
        <v>0</v>
      </c>
      <c r="G48" s="19">
        <f t="shared" si="5"/>
        <v>78907.772388469515</v>
      </c>
      <c r="H48" s="19">
        <f t="shared" si="6"/>
        <v>144339.42672072048</v>
      </c>
      <c r="I48" s="19">
        <f t="shared" si="7"/>
        <v>65431.654332250968</v>
      </c>
      <c r="J48" s="19">
        <f t="shared" si="12"/>
        <v>714789.84499519435</v>
      </c>
      <c r="K48" s="18">
        <f t="shared" si="8"/>
        <v>0.37688948287300061</v>
      </c>
      <c r="L48" s="19">
        <f t="shared" si="9"/>
        <v>0</v>
      </c>
      <c r="M48" s="20">
        <f t="shared" si="10"/>
        <v>0</v>
      </c>
      <c r="N48" s="17">
        <f t="shared" si="11"/>
        <v>999</v>
      </c>
    </row>
    <row r="50" spans="1:3" ht="15" customHeight="1" x14ac:dyDescent="0.35">
      <c r="A50" s="3" t="s">
        <v>179</v>
      </c>
    </row>
    <row r="51" spans="1:3" ht="15" customHeight="1" x14ac:dyDescent="0.35">
      <c r="A51" t="s">
        <v>180</v>
      </c>
      <c r="C51" s="21">
        <f>IF(MIN(N29:N48)=999,"Not within horizon",MIN(N29:N48))</f>
        <v>4</v>
      </c>
    </row>
    <row r="52" spans="1:3" ht="15" customHeight="1" x14ac:dyDescent="0.35">
      <c r="A52" t="s">
        <v>181</v>
      </c>
      <c r="C52" s="22">
        <f>SUM(L29:L48)</f>
        <v>129985.6818194876</v>
      </c>
    </row>
    <row r="53" spans="1:3" ht="15" customHeight="1" x14ac:dyDescent="0.35">
      <c r="A53" t="s">
        <v>182</v>
      </c>
      <c r="C53" s="23">
        <f>SUM(M29:M48)</f>
        <v>5.7242544838603999</v>
      </c>
    </row>
    <row r="54" spans="1:3" ht="15" customHeight="1" x14ac:dyDescent="0.35">
      <c r="A54" t="s">
        <v>183</v>
      </c>
      <c r="C54" s="22">
        <f>IF(C53=0,"n/a",($C$16*C53-C52)/C53)</f>
        <v>72292.120365021561</v>
      </c>
    </row>
    <row r="55" spans="1:3" ht="15" customHeight="1" x14ac:dyDescent="0.35">
      <c r="A55" t="s">
        <v>184</v>
      </c>
      <c r="C55" s="22">
        <f>IF(C53=0,"n/a",C52+(C54-$C$16)*C53)</f>
        <v>0</v>
      </c>
    </row>
    <row r="56" spans="1:3" ht="15" customHeight="1" x14ac:dyDescent="0.35">
      <c r="A56" t="s">
        <v>185</v>
      </c>
      <c r="C56" s="22">
        <f>INDEX(J29:J48,$C$9)</f>
        <v>193511.78889411304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zoomScaleNormal="100" workbookViewId="0">
      <pane ySplit="28" topLeftCell="A29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14" width="15" customWidth="1"/>
  </cols>
  <sheetData>
    <row r="1" spans="1:3" ht="16.149999999999999" customHeight="1" x14ac:dyDescent="0.35">
      <c r="A1" s="1" t="s">
        <v>27</v>
      </c>
    </row>
    <row r="2" spans="1:3" ht="15" customHeight="1" x14ac:dyDescent="0.35">
      <c r="A2" s="8" t="s">
        <v>186</v>
      </c>
    </row>
    <row r="4" spans="1:3" ht="15" customHeight="1" x14ac:dyDescent="0.35">
      <c r="A4" s="3" t="s">
        <v>131</v>
      </c>
      <c r="B4" s="3" t="s">
        <v>132</v>
      </c>
    </row>
    <row r="5" spans="1:3" ht="15" customHeight="1" x14ac:dyDescent="0.35">
      <c r="A5" s="2" t="s">
        <v>133</v>
      </c>
      <c r="B5" s="2" t="s">
        <v>92</v>
      </c>
      <c r="C5" s="9">
        <v>70000</v>
      </c>
    </row>
    <row r="6" spans="1:3" ht="15" customHeight="1" x14ac:dyDescent="0.35">
      <c r="A6" s="2" t="s">
        <v>134</v>
      </c>
      <c r="B6" s="2" t="s">
        <v>95</v>
      </c>
      <c r="C6" s="10">
        <v>0.03</v>
      </c>
    </row>
    <row r="7" spans="1:3" ht="15" customHeight="1" x14ac:dyDescent="0.35">
      <c r="A7" s="2" t="s">
        <v>135</v>
      </c>
      <c r="B7" s="2" t="s">
        <v>119</v>
      </c>
      <c r="C7" s="10">
        <v>0.25</v>
      </c>
    </row>
    <row r="8" spans="1:3" ht="15" customHeight="1" x14ac:dyDescent="0.35">
      <c r="A8" s="2" t="s">
        <v>136</v>
      </c>
      <c r="B8" s="2" t="s">
        <v>137</v>
      </c>
      <c r="C8" s="10">
        <v>0.05</v>
      </c>
    </row>
    <row r="9" spans="1:3" ht="15" customHeight="1" x14ac:dyDescent="0.35">
      <c r="A9" s="2" t="s">
        <v>138</v>
      </c>
      <c r="B9" s="2" t="s">
        <v>139</v>
      </c>
      <c r="C9" s="11">
        <v>10</v>
      </c>
    </row>
    <row r="10" spans="1:3" ht="15" customHeight="1" x14ac:dyDescent="0.35">
      <c r="A10" s="2" t="s">
        <v>140</v>
      </c>
      <c r="B10" s="2" t="s">
        <v>141</v>
      </c>
      <c r="C10" s="12">
        <v>2</v>
      </c>
    </row>
    <row r="11" spans="1:3" ht="15" customHeight="1" x14ac:dyDescent="0.35">
      <c r="A11" s="2" t="s">
        <v>142</v>
      </c>
      <c r="B11" s="2" t="s">
        <v>121</v>
      </c>
      <c r="C11" s="9">
        <v>120000</v>
      </c>
    </row>
    <row r="12" spans="1:3" ht="15" customHeight="1" x14ac:dyDescent="0.35">
      <c r="A12" s="2" t="s">
        <v>143</v>
      </c>
      <c r="B12" s="2" t="s">
        <v>58</v>
      </c>
      <c r="C12" s="9">
        <v>0</v>
      </c>
    </row>
    <row r="13" spans="1:3" ht="15" customHeight="1" x14ac:dyDescent="0.35">
      <c r="A13" s="2" t="s">
        <v>144</v>
      </c>
      <c r="B13" s="2" t="s">
        <v>122</v>
      </c>
      <c r="C13" s="9">
        <v>0</v>
      </c>
    </row>
    <row r="14" spans="1:3" ht="15" customHeight="1" x14ac:dyDescent="0.35">
      <c r="A14" s="2" t="s">
        <v>145</v>
      </c>
      <c r="B14" s="2" t="s">
        <v>49</v>
      </c>
      <c r="C14" s="9">
        <v>0</v>
      </c>
    </row>
    <row r="15" spans="1:3" ht="15" customHeight="1" x14ac:dyDescent="0.35">
      <c r="A15" s="2" t="s">
        <v>146</v>
      </c>
      <c r="B15" s="2" t="s">
        <v>147</v>
      </c>
      <c r="C15" s="11">
        <v>3</v>
      </c>
    </row>
    <row r="16" spans="1:3" ht="15" customHeight="1" x14ac:dyDescent="0.35">
      <c r="A16" s="2" t="s">
        <v>148</v>
      </c>
      <c r="B16" s="2" t="s">
        <v>149</v>
      </c>
      <c r="C16" s="9">
        <v>80000</v>
      </c>
    </row>
    <row r="17" spans="1:14" ht="15" customHeight="1" x14ac:dyDescent="0.35">
      <c r="A17" s="2" t="s">
        <v>150</v>
      </c>
      <c r="B17" s="2" t="s">
        <v>151</v>
      </c>
      <c r="C17" s="10">
        <v>0.04</v>
      </c>
    </row>
    <row r="18" spans="1:14" ht="15" customHeight="1" x14ac:dyDescent="0.35">
      <c r="A18" s="2" t="s">
        <v>152</v>
      </c>
      <c r="B18" s="2" t="s">
        <v>59</v>
      </c>
      <c r="C18" s="9">
        <v>100000</v>
      </c>
    </row>
    <row r="19" spans="1:14" ht="15" customHeight="1" x14ac:dyDescent="0.35">
      <c r="A19" s="2" t="s">
        <v>153</v>
      </c>
      <c r="B19" s="2" t="s">
        <v>154</v>
      </c>
      <c r="C19" s="10">
        <v>0.08</v>
      </c>
    </row>
    <row r="20" spans="1:14" ht="15" customHeight="1" x14ac:dyDescent="0.35">
      <c r="A20" s="2" t="s">
        <v>155</v>
      </c>
      <c r="B20" s="2" t="s">
        <v>156</v>
      </c>
      <c r="C20" s="11">
        <v>10</v>
      </c>
    </row>
    <row r="22" spans="1:14" ht="15" customHeight="1" x14ac:dyDescent="0.35">
      <c r="A22" s="3" t="s">
        <v>157</v>
      </c>
    </row>
    <row r="23" spans="1:14" ht="15" customHeight="1" x14ac:dyDescent="0.35">
      <c r="A23" t="s">
        <v>158</v>
      </c>
      <c r="B23" t="s">
        <v>159</v>
      </c>
      <c r="C23" s="13">
        <f>IF($C$18=0,0,$C$18*$C$19/(1-(1+$C$19)^(-$C$20)))</f>
        <v>14902.948869707534</v>
      </c>
    </row>
    <row r="24" spans="1:14" ht="15" customHeight="1" x14ac:dyDescent="0.35">
      <c r="A24" t="s">
        <v>160</v>
      </c>
      <c r="B24" t="s">
        <v>161</v>
      </c>
      <c r="C24" s="14">
        <f>$C$10+$C$15/12</f>
        <v>2.25</v>
      </c>
    </row>
    <row r="25" spans="1:14" ht="15" customHeight="1" x14ac:dyDescent="0.35">
      <c r="A25" t="s">
        <v>162</v>
      </c>
      <c r="B25" t="s">
        <v>163</v>
      </c>
      <c r="C25" s="15">
        <f>INT($C$24)+1</f>
        <v>3</v>
      </c>
    </row>
    <row r="26" spans="1:14" ht="15" customHeight="1" x14ac:dyDescent="0.35">
      <c r="A26" t="s">
        <v>164</v>
      </c>
      <c r="B26" t="s">
        <v>65</v>
      </c>
      <c r="C26" s="13">
        <f>($C$11-$C$12-$C$18)/$C$10+$C$14-$C$13*(1-$C$7)</f>
        <v>10000</v>
      </c>
    </row>
    <row r="28" spans="1:14" ht="42" customHeight="1" x14ac:dyDescent="0.35">
      <c r="A28" s="16" t="s">
        <v>165</v>
      </c>
      <c r="B28" s="16" t="s">
        <v>166</v>
      </c>
      <c r="C28" s="16" t="s">
        <v>167</v>
      </c>
      <c r="D28" s="16" t="s">
        <v>168</v>
      </c>
      <c r="E28" s="16" t="s">
        <v>169</v>
      </c>
      <c r="F28" s="16" t="s">
        <v>170</v>
      </c>
      <c r="G28" s="16" t="s">
        <v>171</v>
      </c>
      <c r="H28" s="16" t="s">
        <v>172</v>
      </c>
      <c r="I28" s="16" t="s">
        <v>173</v>
      </c>
      <c r="J28" s="16" t="s">
        <v>174</v>
      </c>
      <c r="K28" s="16" t="s">
        <v>175</v>
      </c>
      <c r="L28" s="16" t="s">
        <v>176</v>
      </c>
      <c r="M28" s="16" t="s">
        <v>177</v>
      </c>
      <c r="N28" s="16" t="s">
        <v>178</v>
      </c>
    </row>
    <row r="29" spans="1:14" ht="15" customHeight="1" x14ac:dyDescent="0.35">
      <c r="A29" s="17">
        <v>1</v>
      </c>
      <c r="B29" s="5">
        <f t="shared" ref="B29:B48" si="0">IF(A29&lt;=$C$9,1,0)</f>
        <v>1</v>
      </c>
      <c r="C29" s="18">
        <f t="shared" ref="C29:C48" si="1">MAX(0,MIN(1,$C$10-(A29-1)))</f>
        <v>1</v>
      </c>
      <c r="D29" s="18">
        <f t="shared" ref="D29:D48" si="2">MAX(0,MIN(1,A29-$C$24))</f>
        <v>0</v>
      </c>
      <c r="E29" s="18">
        <f t="shared" ref="E29:E48" si="3">MAX(0,A29-$C$25)</f>
        <v>0</v>
      </c>
      <c r="F29" s="18">
        <f t="shared" ref="F29:F48" si="4">MAX(0,MIN(A29,$C$10+$C$20)-MAX(A29-1,$C$10))</f>
        <v>0</v>
      </c>
      <c r="G29" s="19">
        <f t="shared" ref="G29:G48" si="5">$C$5*(1+$C$6)^(A29-1)*(1-$C$7)</f>
        <v>52500</v>
      </c>
      <c r="H29" s="19">
        <f t="shared" ref="H29:H48" si="6">-$C$26*C29+$C$16*(1+$C$17)^E29*(1-$C$7)*D29-$C$23*F29</f>
        <v>-10000</v>
      </c>
      <c r="I29" s="19">
        <f t="shared" ref="I29:I48" si="7">H29-G29</f>
        <v>-62500</v>
      </c>
      <c r="J29" s="19">
        <f>I29</f>
        <v>-62500</v>
      </c>
      <c r="K29" s="18">
        <f t="shared" ref="K29:K48" si="8">1/(1+$C$8)^A29</f>
        <v>0.95238095238095233</v>
      </c>
      <c r="L29" s="19">
        <f t="shared" ref="L29:L48" si="9">I29*K29*B29</f>
        <v>-59523.809523809519</v>
      </c>
      <c r="M29" s="20">
        <f t="shared" ref="M29:M48" si="10">(1+$C$17)^E29*(1-$C$7)*D29*K29*B29</f>
        <v>0</v>
      </c>
      <c r="N29" s="17">
        <f t="shared" ref="N29:N48" si="11">IF(AND(B29=1,COUNTIFS($A$29:$A$48,"&gt;="&amp;A29,$B$29:$B$48,1,$J$29:$J$48,"&lt;0")=0),A29,999)</f>
        <v>999</v>
      </c>
    </row>
    <row r="30" spans="1:14" ht="15" customHeight="1" x14ac:dyDescent="0.35">
      <c r="A30" s="17">
        <v>2</v>
      </c>
      <c r="B30" s="5">
        <f t="shared" si="0"/>
        <v>1</v>
      </c>
      <c r="C30" s="18">
        <f t="shared" si="1"/>
        <v>1</v>
      </c>
      <c r="D30" s="18">
        <f t="shared" si="2"/>
        <v>0</v>
      </c>
      <c r="E30" s="18">
        <f t="shared" si="3"/>
        <v>0</v>
      </c>
      <c r="F30" s="18">
        <f t="shared" si="4"/>
        <v>0</v>
      </c>
      <c r="G30" s="19">
        <f t="shared" si="5"/>
        <v>54075</v>
      </c>
      <c r="H30" s="19">
        <f t="shared" si="6"/>
        <v>-10000</v>
      </c>
      <c r="I30" s="19">
        <f t="shared" si="7"/>
        <v>-64075</v>
      </c>
      <c r="J30" s="19">
        <f t="shared" ref="J30:J48" si="12">J29+I30</f>
        <v>-126575</v>
      </c>
      <c r="K30" s="18">
        <f t="shared" si="8"/>
        <v>0.90702947845804982</v>
      </c>
      <c r="L30" s="19">
        <f t="shared" si="9"/>
        <v>-58117.913832199542</v>
      </c>
      <c r="M30" s="20">
        <f t="shared" si="10"/>
        <v>0</v>
      </c>
      <c r="N30" s="17">
        <f t="shared" si="11"/>
        <v>999</v>
      </c>
    </row>
    <row r="31" spans="1:14" ht="15" customHeight="1" x14ac:dyDescent="0.35">
      <c r="A31" s="17">
        <v>3</v>
      </c>
      <c r="B31" s="5">
        <f t="shared" si="0"/>
        <v>1</v>
      </c>
      <c r="C31" s="18">
        <f t="shared" si="1"/>
        <v>0</v>
      </c>
      <c r="D31" s="18">
        <f t="shared" si="2"/>
        <v>0.75</v>
      </c>
      <c r="E31" s="18">
        <f t="shared" si="3"/>
        <v>0</v>
      </c>
      <c r="F31" s="18">
        <f t="shared" si="4"/>
        <v>1</v>
      </c>
      <c r="G31" s="19">
        <f t="shared" si="5"/>
        <v>55697.25</v>
      </c>
      <c r="H31" s="19">
        <f t="shared" si="6"/>
        <v>30097.051130292464</v>
      </c>
      <c r="I31" s="19">
        <f t="shared" si="7"/>
        <v>-25600.198869707536</v>
      </c>
      <c r="J31" s="19">
        <f t="shared" si="12"/>
        <v>-152175.19886970753</v>
      </c>
      <c r="K31" s="18">
        <f t="shared" si="8"/>
        <v>0.86383759853147601</v>
      </c>
      <c r="L31" s="19">
        <f t="shared" si="9"/>
        <v>-22114.414313536363</v>
      </c>
      <c r="M31" s="20">
        <f t="shared" si="10"/>
        <v>0.48590864917395526</v>
      </c>
      <c r="N31" s="17">
        <f t="shared" si="11"/>
        <v>999</v>
      </c>
    </row>
    <row r="32" spans="1:14" ht="15" customHeight="1" x14ac:dyDescent="0.35">
      <c r="A32" s="17">
        <v>4</v>
      </c>
      <c r="B32" s="5">
        <f t="shared" si="0"/>
        <v>1</v>
      </c>
      <c r="C32" s="18">
        <f t="shared" si="1"/>
        <v>0</v>
      </c>
      <c r="D32" s="18">
        <f t="shared" si="2"/>
        <v>1</v>
      </c>
      <c r="E32" s="18">
        <f t="shared" si="3"/>
        <v>1</v>
      </c>
      <c r="F32" s="18">
        <f t="shared" si="4"/>
        <v>1</v>
      </c>
      <c r="G32" s="19">
        <f t="shared" si="5"/>
        <v>57368.167499999996</v>
      </c>
      <c r="H32" s="19">
        <f t="shared" si="6"/>
        <v>47497.051130292464</v>
      </c>
      <c r="I32" s="19">
        <f t="shared" si="7"/>
        <v>-9871.1163697075317</v>
      </c>
      <c r="J32" s="19">
        <f t="shared" si="12"/>
        <v>-162046.31523941507</v>
      </c>
      <c r="K32" s="18">
        <f t="shared" si="8"/>
        <v>0.82270247479188197</v>
      </c>
      <c r="L32" s="19">
        <f t="shared" si="9"/>
        <v>-8120.9918663170438</v>
      </c>
      <c r="M32" s="20">
        <f t="shared" si="10"/>
        <v>0.64170793033766793</v>
      </c>
      <c r="N32" s="17">
        <f t="shared" si="11"/>
        <v>999</v>
      </c>
    </row>
    <row r="33" spans="1:14" ht="15" customHeight="1" x14ac:dyDescent="0.35">
      <c r="A33" s="17">
        <v>5</v>
      </c>
      <c r="B33" s="5">
        <f t="shared" si="0"/>
        <v>1</v>
      </c>
      <c r="C33" s="18">
        <f t="shared" si="1"/>
        <v>0</v>
      </c>
      <c r="D33" s="18">
        <f t="shared" si="2"/>
        <v>1</v>
      </c>
      <c r="E33" s="18">
        <f t="shared" si="3"/>
        <v>2</v>
      </c>
      <c r="F33" s="18">
        <f t="shared" si="4"/>
        <v>1</v>
      </c>
      <c r="G33" s="19">
        <f t="shared" si="5"/>
        <v>59089.212524999995</v>
      </c>
      <c r="H33" s="19">
        <f t="shared" si="6"/>
        <v>49993.051130292479</v>
      </c>
      <c r="I33" s="19">
        <f t="shared" si="7"/>
        <v>-9096.1613947075166</v>
      </c>
      <c r="J33" s="19">
        <f t="shared" si="12"/>
        <v>-171142.47663412258</v>
      </c>
      <c r="K33" s="18">
        <f t="shared" si="8"/>
        <v>0.78352616646845896</v>
      </c>
      <c r="L33" s="19">
        <f t="shared" si="9"/>
        <v>-7127.0804671735714</v>
      </c>
      <c r="M33" s="20">
        <f t="shared" si="10"/>
        <v>0.63559642623921397</v>
      </c>
      <c r="N33" s="17">
        <f t="shared" si="11"/>
        <v>999</v>
      </c>
    </row>
    <row r="34" spans="1:14" ht="15" customHeight="1" x14ac:dyDescent="0.35">
      <c r="A34" s="17">
        <v>6</v>
      </c>
      <c r="B34" s="5">
        <f t="shared" si="0"/>
        <v>1</v>
      </c>
      <c r="C34" s="18">
        <f t="shared" si="1"/>
        <v>0</v>
      </c>
      <c r="D34" s="18">
        <f t="shared" si="2"/>
        <v>1</v>
      </c>
      <c r="E34" s="18">
        <f t="shared" si="3"/>
        <v>3</v>
      </c>
      <c r="F34" s="18">
        <f t="shared" si="4"/>
        <v>1</v>
      </c>
      <c r="G34" s="19">
        <f t="shared" si="5"/>
        <v>60861.888900749989</v>
      </c>
      <c r="H34" s="19">
        <f t="shared" si="6"/>
        <v>52588.891130292475</v>
      </c>
      <c r="I34" s="19">
        <f t="shared" si="7"/>
        <v>-8272.997770457514</v>
      </c>
      <c r="J34" s="19">
        <f t="shared" si="12"/>
        <v>-179415.47440458008</v>
      </c>
      <c r="K34" s="18">
        <f t="shared" si="8"/>
        <v>0.74621539663662761</v>
      </c>
      <c r="L34" s="19">
        <f t="shared" si="9"/>
        <v>-6173.4383126558896</v>
      </c>
      <c r="M34" s="20">
        <f t="shared" si="10"/>
        <v>0.62954312694169767</v>
      </c>
      <c r="N34" s="17">
        <f t="shared" si="11"/>
        <v>999</v>
      </c>
    </row>
    <row r="35" spans="1:14" ht="15" customHeight="1" x14ac:dyDescent="0.35">
      <c r="A35" s="17">
        <v>7</v>
      </c>
      <c r="B35" s="5">
        <f t="shared" si="0"/>
        <v>1</v>
      </c>
      <c r="C35" s="18">
        <f t="shared" si="1"/>
        <v>0</v>
      </c>
      <c r="D35" s="18">
        <f t="shared" si="2"/>
        <v>1</v>
      </c>
      <c r="E35" s="18">
        <f t="shared" si="3"/>
        <v>4</v>
      </c>
      <c r="F35" s="18">
        <f t="shared" si="4"/>
        <v>1</v>
      </c>
      <c r="G35" s="19">
        <f t="shared" si="5"/>
        <v>62687.745567772494</v>
      </c>
      <c r="H35" s="19">
        <f t="shared" si="6"/>
        <v>55288.56473029247</v>
      </c>
      <c r="I35" s="19">
        <f t="shared" si="7"/>
        <v>-7399.1808374800239</v>
      </c>
      <c r="J35" s="19">
        <f t="shared" si="12"/>
        <v>-186814.65524206011</v>
      </c>
      <c r="K35" s="18">
        <f t="shared" si="8"/>
        <v>0.71068133013012147</v>
      </c>
      <c r="L35" s="19">
        <f t="shared" si="9"/>
        <v>-5258.4596794536092</v>
      </c>
      <c r="M35" s="20">
        <f t="shared" si="10"/>
        <v>0.6235474781136815</v>
      </c>
      <c r="N35" s="17">
        <f t="shared" si="11"/>
        <v>999</v>
      </c>
    </row>
    <row r="36" spans="1:14" ht="15" customHeight="1" x14ac:dyDescent="0.35">
      <c r="A36" s="17">
        <v>8</v>
      </c>
      <c r="B36" s="5">
        <f t="shared" si="0"/>
        <v>1</v>
      </c>
      <c r="C36" s="18">
        <f t="shared" si="1"/>
        <v>0</v>
      </c>
      <c r="D36" s="18">
        <f t="shared" si="2"/>
        <v>1</v>
      </c>
      <c r="E36" s="18">
        <f t="shared" si="3"/>
        <v>5</v>
      </c>
      <c r="F36" s="18">
        <f t="shared" si="4"/>
        <v>1</v>
      </c>
      <c r="G36" s="19">
        <f t="shared" si="5"/>
        <v>64568.377934805671</v>
      </c>
      <c r="H36" s="19">
        <f t="shared" si="6"/>
        <v>58096.225274292483</v>
      </c>
      <c r="I36" s="19">
        <f t="shared" si="7"/>
        <v>-6472.1526605131876</v>
      </c>
      <c r="J36" s="19">
        <f t="shared" si="12"/>
        <v>-193286.80790257329</v>
      </c>
      <c r="K36" s="18">
        <f t="shared" si="8"/>
        <v>0.67683936202868722</v>
      </c>
      <c r="L36" s="19">
        <f t="shared" si="9"/>
        <v>-4380.6076776940163</v>
      </c>
      <c r="M36" s="20">
        <f t="shared" si="10"/>
        <v>0.61760893070307521</v>
      </c>
      <c r="N36" s="17">
        <f t="shared" si="11"/>
        <v>999</v>
      </c>
    </row>
    <row r="37" spans="1:14" ht="15" customHeight="1" x14ac:dyDescent="0.35">
      <c r="A37" s="17">
        <v>9</v>
      </c>
      <c r="B37" s="5">
        <f t="shared" si="0"/>
        <v>1</v>
      </c>
      <c r="C37" s="18">
        <f t="shared" si="1"/>
        <v>0</v>
      </c>
      <c r="D37" s="18">
        <f t="shared" si="2"/>
        <v>1</v>
      </c>
      <c r="E37" s="18">
        <f t="shared" si="3"/>
        <v>6</v>
      </c>
      <c r="F37" s="18">
        <f t="shared" si="4"/>
        <v>1</v>
      </c>
      <c r="G37" s="19">
        <f t="shared" si="5"/>
        <v>66505.42927284984</v>
      </c>
      <c r="H37" s="19">
        <f t="shared" si="6"/>
        <v>61016.192240052485</v>
      </c>
      <c r="I37" s="19">
        <f t="shared" si="7"/>
        <v>-5489.2370327973549</v>
      </c>
      <c r="J37" s="19">
        <f t="shared" si="12"/>
        <v>-198776.04493537065</v>
      </c>
      <c r="K37" s="18">
        <f t="shared" si="8"/>
        <v>0.64460891621779726</v>
      </c>
      <c r="L37" s="19">
        <f t="shared" si="9"/>
        <v>-3538.4111345741003</v>
      </c>
      <c r="M37" s="20">
        <f t="shared" si="10"/>
        <v>0.61172694088685531</v>
      </c>
      <c r="N37" s="17">
        <f t="shared" si="11"/>
        <v>999</v>
      </c>
    </row>
    <row r="38" spans="1:14" ht="15" customHeight="1" x14ac:dyDescent="0.35">
      <c r="A38" s="17">
        <v>10</v>
      </c>
      <c r="B38" s="5">
        <f t="shared" si="0"/>
        <v>1</v>
      </c>
      <c r="C38" s="18">
        <f t="shared" si="1"/>
        <v>0</v>
      </c>
      <c r="D38" s="18">
        <f t="shared" si="2"/>
        <v>1</v>
      </c>
      <c r="E38" s="18">
        <f t="shared" si="3"/>
        <v>7</v>
      </c>
      <c r="F38" s="18">
        <f t="shared" si="4"/>
        <v>1</v>
      </c>
      <c r="G38" s="19">
        <f t="shared" si="5"/>
        <v>68500.592151035336</v>
      </c>
      <c r="H38" s="19">
        <f t="shared" si="6"/>
        <v>64052.957884442883</v>
      </c>
      <c r="I38" s="19">
        <f t="shared" si="7"/>
        <v>-4447.6342665924531</v>
      </c>
      <c r="J38" s="19">
        <f t="shared" si="12"/>
        <v>-203223.6792019631</v>
      </c>
      <c r="K38" s="18">
        <f t="shared" si="8"/>
        <v>0.61391325354075932</v>
      </c>
      <c r="L38" s="19">
        <f t="shared" si="9"/>
        <v>-2730.4616231631417</v>
      </c>
      <c r="M38" s="20">
        <f t="shared" si="10"/>
        <v>0.60590097002126619</v>
      </c>
      <c r="N38" s="17">
        <f t="shared" si="11"/>
        <v>999</v>
      </c>
    </row>
    <row r="39" spans="1:14" ht="15" customHeight="1" x14ac:dyDescent="0.35">
      <c r="A39" s="17">
        <v>11</v>
      </c>
      <c r="B39" s="5">
        <f t="shared" si="0"/>
        <v>0</v>
      </c>
      <c r="C39" s="18">
        <f t="shared" si="1"/>
        <v>0</v>
      </c>
      <c r="D39" s="18">
        <f t="shared" si="2"/>
        <v>1</v>
      </c>
      <c r="E39" s="18">
        <f t="shared" si="3"/>
        <v>8</v>
      </c>
      <c r="F39" s="18">
        <f t="shared" si="4"/>
        <v>1</v>
      </c>
      <c r="G39" s="19">
        <f t="shared" si="5"/>
        <v>70555.609915566398</v>
      </c>
      <c r="H39" s="19">
        <f t="shared" si="6"/>
        <v>67211.194154608922</v>
      </c>
      <c r="I39" s="19">
        <f t="shared" si="7"/>
        <v>-3344.4157609574759</v>
      </c>
      <c r="J39" s="19">
        <f t="shared" si="12"/>
        <v>-206568.09496292059</v>
      </c>
      <c r="K39" s="18">
        <f t="shared" si="8"/>
        <v>0.5846792890864374</v>
      </c>
      <c r="L39" s="19">
        <f t="shared" si="9"/>
        <v>0</v>
      </c>
      <c r="M39" s="20">
        <f t="shared" si="10"/>
        <v>0</v>
      </c>
      <c r="N39" s="17">
        <f t="shared" si="11"/>
        <v>999</v>
      </c>
    </row>
    <row r="40" spans="1:14" ht="15" customHeight="1" x14ac:dyDescent="0.35">
      <c r="A40" s="17">
        <v>12</v>
      </c>
      <c r="B40" s="5">
        <f t="shared" si="0"/>
        <v>0</v>
      </c>
      <c r="C40" s="18">
        <f t="shared" si="1"/>
        <v>0</v>
      </c>
      <c r="D40" s="18">
        <f t="shared" si="2"/>
        <v>1</v>
      </c>
      <c r="E40" s="18">
        <f t="shared" si="3"/>
        <v>9</v>
      </c>
      <c r="F40" s="18">
        <f t="shared" si="4"/>
        <v>1</v>
      </c>
      <c r="G40" s="19">
        <f t="shared" si="5"/>
        <v>72672.27821303338</v>
      </c>
      <c r="H40" s="19">
        <f t="shared" si="6"/>
        <v>70495.759875581585</v>
      </c>
      <c r="I40" s="19">
        <f t="shared" si="7"/>
        <v>-2176.5183374517947</v>
      </c>
      <c r="J40" s="19">
        <f t="shared" si="12"/>
        <v>-208744.61330037238</v>
      </c>
      <c r="K40" s="18">
        <f t="shared" si="8"/>
        <v>0.5568374181775595</v>
      </c>
      <c r="L40" s="19">
        <f t="shared" si="9"/>
        <v>0</v>
      </c>
      <c r="M40" s="20">
        <f t="shared" si="10"/>
        <v>0</v>
      </c>
      <c r="N40" s="17">
        <f t="shared" si="11"/>
        <v>999</v>
      </c>
    </row>
    <row r="41" spans="1:14" ht="15" customHeight="1" x14ac:dyDescent="0.35">
      <c r="A41" s="17">
        <v>13</v>
      </c>
      <c r="B41" s="5">
        <f t="shared" si="0"/>
        <v>0</v>
      </c>
      <c r="C41" s="18">
        <f t="shared" si="1"/>
        <v>0</v>
      </c>
      <c r="D41" s="18">
        <f t="shared" si="2"/>
        <v>1</v>
      </c>
      <c r="E41" s="18">
        <f t="shared" si="3"/>
        <v>10</v>
      </c>
      <c r="F41" s="18">
        <f t="shared" si="4"/>
        <v>0</v>
      </c>
      <c r="G41" s="19">
        <f t="shared" si="5"/>
        <v>74852.446559424381</v>
      </c>
      <c r="H41" s="19">
        <f t="shared" si="6"/>
        <v>88814.657095100672</v>
      </c>
      <c r="I41" s="19">
        <f t="shared" si="7"/>
        <v>13962.210535676291</v>
      </c>
      <c r="J41" s="19">
        <f t="shared" si="12"/>
        <v>-194782.4027646961</v>
      </c>
      <c r="K41" s="18">
        <f t="shared" si="8"/>
        <v>0.53032135064529462</v>
      </c>
      <c r="L41" s="19">
        <f t="shared" si="9"/>
        <v>0</v>
      </c>
      <c r="M41" s="20">
        <f t="shared" si="10"/>
        <v>0</v>
      </c>
      <c r="N41" s="17">
        <f t="shared" si="11"/>
        <v>999</v>
      </c>
    </row>
    <row r="42" spans="1:14" ht="15" customHeight="1" x14ac:dyDescent="0.35">
      <c r="A42" s="17">
        <v>14</v>
      </c>
      <c r="B42" s="5">
        <f t="shared" si="0"/>
        <v>0</v>
      </c>
      <c r="C42" s="18">
        <f t="shared" si="1"/>
        <v>0</v>
      </c>
      <c r="D42" s="18">
        <f t="shared" si="2"/>
        <v>1</v>
      </c>
      <c r="E42" s="18">
        <f t="shared" si="3"/>
        <v>11</v>
      </c>
      <c r="F42" s="18">
        <f t="shared" si="4"/>
        <v>0</v>
      </c>
      <c r="G42" s="19">
        <f t="shared" si="5"/>
        <v>77098.019956207107</v>
      </c>
      <c r="H42" s="19">
        <f t="shared" si="6"/>
        <v>92367.243378904692</v>
      </c>
      <c r="I42" s="19">
        <f t="shared" si="7"/>
        <v>15269.223422697585</v>
      </c>
      <c r="J42" s="19">
        <f t="shared" si="12"/>
        <v>-179513.17934199853</v>
      </c>
      <c r="K42" s="18">
        <f t="shared" si="8"/>
        <v>0.50506795299551888</v>
      </c>
      <c r="L42" s="19">
        <f t="shared" si="9"/>
        <v>0</v>
      </c>
      <c r="M42" s="20">
        <f t="shared" si="10"/>
        <v>0</v>
      </c>
      <c r="N42" s="17">
        <f t="shared" si="11"/>
        <v>999</v>
      </c>
    </row>
    <row r="43" spans="1:14" ht="15" customHeight="1" x14ac:dyDescent="0.35">
      <c r="A43" s="17">
        <v>15</v>
      </c>
      <c r="B43" s="5">
        <f t="shared" si="0"/>
        <v>0</v>
      </c>
      <c r="C43" s="18">
        <f t="shared" si="1"/>
        <v>0</v>
      </c>
      <c r="D43" s="18">
        <f t="shared" si="2"/>
        <v>1</v>
      </c>
      <c r="E43" s="18">
        <f t="shared" si="3"/>
        <v>12</v>
      </c>
      <c r="F43" s="18">
        <f t="shared" si="4"/>
        <v>0</v>
      </c>
      <c r="G43" s="19">
        <f t="shared" si="5"/>
        <v>79410.960554893332</v>
      </c>
      <c r="H43" s="19">
        <f t="shared" si="6"/>
        <v>96061.933114060899</v>
      </c>
      <c r="I43" s="19">
        <f t="shared" si="7"/>
        <v>16650.972559167567</v>
      </c>
      <c r="J43" s="19">
        <f t="shared" si="12"/>
        <v>-162862.20678283097</v>
      </c>
      <c r="K43" s="18">
        <f t="shared" si="8"/>
        <v>0.48101709809097021</v>
      </c>
      <c r="L43" s="19">
        <f t="shared" si="9"/>
        <v>0</v>
      </c>
      <c r="M43" s="20">
        <f t="shared" si="10"/>
        <v>0</v>
      </c>
      <c r="N43" s="17">
        <f t="shared" si="11"/>
        <v>999</v>
      </c>
    </row>
    <row r="44" spans="1:14" ht="15" customHeight="1" x14ac:dyDescent="0.35">
      <c r="A44" s="17">
        <v>16</v>
      </c>
      <c r="B44" s="5">
        <f t="shared" si="0"/>
        <v>0</v>
      </c>
      <c r="C44" s="18">
        <f t="shared" si="1"/>
        <v>0</v>
      </c>
      <c r="D44" s="18">
        <f t="shared" si="2"/>
        <v>1</v>
      </c>
      <c r="E44" s="18">
        <f t="shared" si="3"/>
        <v>13</v>
      </c>
      <c r="F44" s="18">
        <f t="shared" si="4"/>
        <v>0</v>
      </c>
      <c r="G44" s="19">
        <f t="shared" si="5"/>
        <v>81793.28937154013</v>
      </c>
      <c r="H44" s="19">
        <f t="shared" si="6"/>
        <v>99904.410438623338</v>
      </c>
      <c r="I44" s="19">
        <f t="shared" si="7"/>
        <v>18111.121067083208</v>
      </c>
      <c r="J44" s="19">
        <f t="shared" si="12"/>
        <v>-144751.08571574776</v>
      </c>
      <c r="K44" s="18">
        <f t="shared" si="8"/>
        <v>0.45811152199140021</v>
      </c>
      <c r="L44" s="19">
        <f t="shared" si="9"/>
        <v>0</v>
      </c>
      <c r="M44" s="20">
        <f t="shared" si="10"/>
        <v>0</v>
      </c>
      <c r="N44" s="17">
        <f t="shared" si="11"/>
        <v>999</v>
      </c>
    </row>
    <row r="45" spans="1:14" ht="15" customHeight="1" x14ac:dyDescent="0.35">
      <c r="A45" s="17">
        <v>17</v>
      </c>
      <c r="B45" s="5">
        <f t="shared" si="0"/>
        <v>0</v>
      </c>
      <c r="C45" s="18">
        <f t="shared" si="1"/>
        <v>0</v>
      </c>
      <c r="D45" s="18">
        <f t="shared" si="2"/>
        <v>1</v>
      </c>
      <c r="E45" s="18">
        <f t="shared" si="3"/>
        <v>14</v>
      </c>
      <c r="F45" s="18">
        <f t="shared" si="4"/>
        <v>0</v>
      </c>
      <c r="G45" s="19">
        <f t="shared" si="5"/>
        <v>84247.088052686318</v>
      </c>
      <c r="H45" s="19">
        <f t="shared" si="6"/>
        <v>103900.58685616827</v>
      </c>
      <c r="I45" s="19">
        <f t="shared" si="7"/>
        <v>19653.498803481954</v>
      </c>
      <c r="J45" s="19">
        <f t="shared" si="12"/>
        <v>-125097.5869122658</v>
      </c>
      <c r="K45" s="18">
        <f t="shared" si="8"/>
        <v>0.43629668761085727</v>
      </c>
      <c r="L45" s="19">
        <f t="shared" si="9"/>
        <v>0</v>
      </c>
      <c r="M45" s="20">
        <f t="shared" si="10"/>
        <v>0</v>
      </c>
      <c r="N45" s="17">
        <f t="shared" si="11"/>
        <v>999</v>
      </c>
    </row>
    <row r="46" spans="1:14" ht="15" customHeight="1" x14ac:dyDescent="0.35">
      <c r="A46" s="17">
        <v>18</v>
      </c>
      <c r="B46" s="5">
        <f t="shared" si="0"/>
        <v>0</v>
      </c>
      <c r="C46" s="18">
        <f t="shared" si="1"/>
        <v>0</v>
      </c>
      <c r="D46" s="18">
        <f t="shared" si="2"/>
        <v>1</v>
      </c>
      <c r="E46" s="18">
        <f t="shared" si="3"/>
        <v>15</v>
      </c>
      <c r="F46" s="18">
        <f t="shared" si="4"/>
        <v>0</v>
      </c>
      <c r="G46" s="19">
        <f t="shared" si="5"/>
        <v>86774.500694266913</v>
      </c>
      <c r="H46" s="19">
        <f t="shared" si="6"/>
        <v>108056.610330415</v>
      </c>
      <c r="I46" s="19">
        <f t="shared" si="7"/>
        <v>21282.109636148089</v>
      </c>
      <c r="J46" s="19">
        <f t="shared" si="12"/>
        <v>-103815.47727611772</v>
      </c>
      <c r="K46" s="18">
        <f t="shared" si="8"/>
        <v>0.41552065486748313</v>
      </c>
      <c r="L46" s="19">
        <f t="shared" si="9"/>
        <v>0</v>
      </c>
      <c r="M46" s="20">
        <f t="shared" si="10"/>
        <v>0</v>
      </c>
      <c r="N46" s="17">
        <f t="shared" si="11"/>
        <v>999</v>
      </c>
    </row>
    <row r="47" spans="1:14" ht="15" customHeight="1" x14ac:dyDescent="0.35">
      <c r="A47" s="17">
        <v>19</v>
      </c>
      <c r="B47" s="5">
        <f t="shared" si="0"/>
        <v>0</v>
      </c>
      <c r="C47" s="18">
        <f t="shared" si="1"/>
        <v>0</v>
      </c>
      <c r="D47" s="18">
        <f t="shared" si="2"/>
        <v>1</v>
      </c>
      <c r="E47" s="18">
        <f t="shared" si="3"/>
        <v>16</v>
      </c>
      <c r="F47" s="18">
        <f t="shared" si="4"/>
        <v>0</v>
      </c>
      <c r="G47" s="19">
        <f t="shared" si="5"/>
        <v>89377.735715094925</v>
      </c>
      <c r="H47" s="19">
        <f t="shared" si="6"/>
        <v>112378.87474363163</v>
      </c>
      <c r="I47" s="19">
        <f t="shared" si="7"/>
        <v>23001.139028536709</v>
      </c>
      <c r="J47" s="19">
        <f t="shared" si="12"/>
        <v>-80814.338247581007</v>
      </c>
      <c r="K47" s="18">
        <f t="shared" si="8"/>
        <v>0.39573395701665059</v>
      </c>
      <c r="L47" s="19">
        <f t="shared" si="9"/>
        <v>0</v>
      </c>
      <c r="M47" s="20">
        <f t="shared" si="10"/>
        <v>0</v>
      </c>
      <c r="N47" s="17">
        <f t="shared" si="11"/>
        <v>999</v>
      </c>
    </row>
    <row r="48" spans="1:14" ht="15" customHeight="1" x14ac:dyDescent="0.35">
      <c r="A48" s="17">
        <v>20</v>
      </c>
      <c r="B48" s="5">
        <f t="shared" si="0"/>
        <v>0</v>
      </c>
      <c r="C48" s="18">
        <f t="shared" si="1"/>
        <v>0</v>
      </c>
      <c r="D48" s="18">
        <f t="shared" si="2"/>
        <v>1</v>
      </c>
      <c r="E48" s="18">
        <f t="shared" si="3"/>
        <v>17</v>
      </c>
      <c r="F48" s="18">
        <f t="shared" si="4"/>
        <v>0</v>
      </c>
      <c r="G48" s="19">
        <f t="shared" si="5"/>
        <v>92059.067786547763</v>
      </c>
      <c r="H48" s="19">
        <f t="shared" si="6"/>
        <v>116874.02973337688</v>
      </c>
      <c r="I48" s="19">
        <f t="shared" si="7"/>
        <v>24814.96194682912</v>
      </c>
      <c r="J48" s="19">
        <f t="shared" si="12"/>
        <v>-55999.376300751886</v>
      </c>
      <c r="K48" s="18">
        <f t="shared" si="8"/>
        <v>0.37688948287300061</v>
      </c>
      <c r="L48" s="19">
        <f t="shared" si="9"/>
        <v>0</v>
      </c>
      <c r="M48" s="20">
        <f t="shared" si="10"/>
        <v>0</v>
      </c>
      <c r="N48" s="17">
        <f t="shared" si="11"/>
        <v>999</v>
      </c>
    </row>
    <row r="50" spans="1:3" ht="15" customHeight="1" x14ac:dyDescent="0.35">
      <c r="A50" s="3" t="s">
        <v>179</v>
      </c>
    </row>
    <row r="51" spans="1:3" ht="15" customHeight="1" x14ac:dyDescent="0.35">
      <c r="A51" t="s">
        <v>180</v>
      </c>
      <c r="C51" s="21" t="str">
        <f>IF(MIN(N29:N48)=999,"Not within horizon",MIN(N29:N48))</f>
        <v>Not within horizon</v>
      </c>
    </row>
    <row r="52" spans="1:3" ht="15" customHeight="1" x14ac:dyDescent="0.35">
      <c r="A52" t="s">
        <v>181</v>
      </c>
      <c r="C52" s="22">
        <f>SUM(L29:L48)</f>
        <v>-177085.58843057678</v>
      </c>
    </row>
    <row r="53" spans="1:3" ht="15" customHeight="1" x14ac:dyDescent="0.35">
      <c r="A53" t="s">
        <v>182</v>
      </c>
      <c r="C53" s="23">
        <f>SUM(M29:M48)</f>
        <v>4.8515404524174128</v>
      </c>
    </row>
    <row r="54" spans="1:3" ht="15" customHeight="1" x14ac:dyDescent="0.35">
      <c r="A54" t="s">
        <v>183</v>
      </c>
      <c r="C54" s="22">
        <f>IF(C53=0,"n/a",($C$16*C53-C52)/C53)</f>
        <v>116500.89907883569</v>
      </c>
    </row>
    <row r="55" spans="1:3" ht="15" customHeight="1" x14ac:dyDescent="0.35">
      <c r="A55" t="s">
        <v>184</v>
      </c>
      <c r="C55" s="22">
        <f>IF(C53=0,"n/a",C52+(C54-$C$16)*C53)</f>
        <v>5.8207660913467407E-11</v>
      </c>
    </row>
    <row r="56" spans="1:3" ht="15" customHeight="1" x14ac:dyDescent="0.35">
      <c r="A56" t="s">
        <v>185</v>
      </c>
      <c r="C56" s="22">
        <f>INDEX(J29:J48,$C$9)</f>
        <v>-203223.6792019631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6"/>
  <sheetViews>
    <sheetView zoomScaleNormal="100" workbookViewId="0">
      <pane ySplit="28" topLeftCell="A29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14" width="15" customWidth="1"/>
  </cols>
  <sheetData>
    <row r="1" spans="1:3" ht="16.149999999999999" customHeight="1" x14ac:dyDescent="0.35">
      <c r="A1" s="1" t="s">
        <v>29</v>
      </c>
    </row>
    <row r="2" spans="1:3" ht="15" customHeight="1" x14ac:dyDescent="0.35">
      <c r="A2" s="8" t="s">
        <v>187</v>
      </c>
    </row>
    <row r="4" spans="1:3" ht="15" customHeight="1" x14ac:dyDescent="0.35">
      <c r="A4" s="3" t="s">
        <v>131</v>
      </c>
      <c r="B4" s="3" t="s">
        <v>132</v>
      </c>
    </row>
    <row r="5" spans="1:3" ht="15" customHeight="1" x14ac:dyDescent="0.35">
      <c r="A5" s="2" t="s">
        <v>133</v>
      </c>
      <c r="B5" s="2" t="s">
        <v>92</v>
      </c>
      <c r="C5" s="9">
        <v>65000</v>
      </c>
    </row>
    <row r="6" spans="1:3" ht="15" customHeight="1" x14ac:dyDescent="0.35">
      <c r="A6" s="2" t="s">
        <v>134</v>
      </c>
      <c r="B6" s="2" t="s">
        <v>95</v>
      </c>
      <c r="C6" s="10">
        <v>0.03</v>
      </c>
    </row>
    <row r="7" spans="1:3" ht="15" customHeight="1" x14ac:dyDescent="0.35">
      <c r="A7" s="2" t="s">
        <v>135</v>
      </c>
      <c r="B7" s="2" t="s">
        <v>119</v>
      </c>
      <c r="C7" s="10">
        <v>0.25</v>
      </c>
    </row>
    <row r="8" spans="1:3" ht="15" customHeight="1" x14ac:dyDescent="0.35">
      <c r="A8" s="2" t="s">
        <v>136</v>
      </c>
      <c r="B8" s="2" t="s">
        <v>137</v>
      </c>
      <c r="C8" s="10">
        <v>0.05</v>
      </c>
    </row>
    <row r="9" spans="1:3" ht="15" customHeight="1" x14ac:dyDescent="0.35">
      <c r="A9" s="2" t="s">
        <v>138</v>
      </c>
      <c r="B9" s="2" t="s">
        <v>139</v>
      </c>
      <c r="C9" s="11">
        <v>10</v>
      </c>
    </row>
    <row r="10" spans="1:3" ht="15" customHeight="1" x14ac:dyDescent="0.35">
      <c r="A10" s="2" t="s">
        <v>140</v>
      </c>
      <c r="B10" s="2" t="s">
        <v>141</v>
      </c>
      <c r="C10" s="12">
        <v>0.83</v>
      </c>
    </row>
    <row r="11" spans="1:3" ht="15" customHeight="1" x14ac:dyDescent="0.35">
      <c r="A11" s="2" t="s">
        <v>142</v>
      </c>
      <c r="B11" s="2" t="s">
        <v>121</v>
      </c>
      <c r="C11" s="9">
        <v>40000</v>
      </c>
    </row>
    <row r="12" spans="1:3" ht="15" customHeight="1" x14ac:dyDescent="0.35">
      <c r="A12" s="2" t="s">
        <v>143</v>
      </c>
      <c r="B12" s="2" t="s">
        <v>58</v>
      </c>
      <c r="C12" s="9">
        <v>5000</v>
      </c>
    </row>
    <row r="13" spans="1:3" ht="15" customHeight="1" x14ac:dyDescent="0.35">
      <c r="A13" s="2" t="s">
        <v>144</v>
      </c>
      <c r="B13" s="2" t="s">
        <v>122</v>
      </c>
      <c r="C13" s="9">
        <v>0</v>
      </c>
    </row>
    <row r="14" spans="1:3" ht="15" customHeight="1" x14ac:dyDescent="0.35">
      <c r="A14" s="2" t="s">
        <v>145</v>
      </c>
      <c r="B14" s="2" t="s">
        <v>49</v>
      </c>
      <c r="C14" s="9">
        <v>0</v>
      </c>
    </row>
    <row r="15" spans="1:3" ht="15" customHeight="1" x14ac:dyDescent="0.35">
      <c r="A15" s="2" t="s">
        <v>146</v>
      </c>
      <c r="B15" s="2" t="s">
        <v>147</v>
      </c>
      <c r="C15" s="11">
        <v>3</v>
      </c>
    </row>
    <row r="16" spans="1:3" ht="15" customHeight="1" x14ac:dyDescent="0.35">
      <c r="A16" s="2" t="s">
        <v>148</v>
      </c>
      <c r="B16" s="2" t="s">
        <v>149</v>
      </c>
      <c r="C16" s="9">
        <v>73268</v>
      </c>
    </row>
    <row r="17" spans="1:14" ht="15" customHeight="1" x14ac:dyDescent="0.35">
      <c r="A17" s="2" t="s">
        <v>150</v>
      </c>
      <c r="B17" s="2" t="s">
        <v>151</v>
      </c>
      <c r="C17" s="10">
        <v>0.04</v>
      </c>
    </row>
    <row r="18" spans="1:14" ht="15" customHeight="1" x14ac:dyDescent="0.35">
      <c r="A18" s="2" t="s">
        <v>152</v>
      </c>
      <c r="B18" s="2" t="s">
        <v>59</v>
      </c>
      <c r="C18" s="9">
        <v>35000</v>
      </c>
    </row>
    <row r="19" spans="1:14" ht="15" customHeight="1" x14ac:dyDescent="0.35">
      <c r="A19" s="2" t="s">
        <v>153</v>
      </c>
      <c r="B19" s="2" t="s">
        <v>154</v>
      </c>
      <c r="C19" s="10">
        <v>0.08</v>
      </c>
    </row>
    <row r="20" spans="1:14" ht="15" customHeight="1" x14ac:dyDescent="0.35">
      <c r="A20" s="2" t="s">
        <v>155</v>
      </c>
      <c r="B20" s="2" t="s">
        <v>156</v>
      </c>
      <c r="C20" s="11">
        <v>10</v>
      </c>
    </row>
    <row r="22" spans="1:14" ht="15" customHeight="1" x14ac:dyDescent="0.35">
      <c r="A22" s="3" t="s">
        <v>157</v>
      </c>
    </row>
    <row r="23" spans="1:14" ht="15" customHeight="1" x14ac:dyDescent="0.35">
      <c r="A23" t="s">
        <v>158</v>
      </c>
      <c r="B23" t="s">
        <v>159</v>
      </c>
      <c r="C23" s="13">
        <f>IF($C$18=0,0,$C$18*$C$19/(1-(1+$C$19)^(-$C$20)))</f>
        <v>5216.0321043976373</v>
      </c>
    </row>
    <row r="24" spans="1:14" ht="15" customHeight="1" x14ac:dyDescent="0.35">
      <c r="A24" t="s">
        <v>160</v>
      </c>
      <c r="B24" t="s">
        <v>161</v>
      </c>
      <c r="C24" s="14">
        <f>$C$10+$C$15/12</f>
        <v>1.08</v>
      </c>
    </row>
    <row r="25" spans="1:14" ht="15" customHeight="1" x14ac:dyDescent="0.35">
      <c r="A25" t="s">
        <v>162</v>
      </c>
      <c r="B25" t="s">
        <v>163</v>
      </c>
      <c r="C25" s="15">
        <f>INT($C$24)+1</f>
        <v>2</v>
      </c>
    </row>
    <row r="26" spans="1:14" ht="15" customHeight="1" x14ac:dyDescent="0.35">
      <c r="A26" t="s">
        <v>164</v>
      </c>
      <c r="B26" t="s">
        <v>65</v>
      </c>
      <c r="C26" s="13">
        <f>($C$11-$C$12-$C$18)/$C$10+$C$14-$C$13*(1-$C$7)</f>
        <v>0</v>
      </c>
    </row>
    <row r="28" spans="1:14" ht="42" customHeight="1" x14ac:dyDescent="0.35">
      <c r="A28" s="16" t="s">
        <v>165</v>
      </c>
      <c r="B28" s="16" t="s">
        <v>166</v>
      </c>
      <c r="C28" s="16" t="s">
        <v>167</v>
      </c>
      <c r="D28" s="16" t="s">
        <v>168</v>
      </c>
      <c r="E28" s="16" t="s">
        <v>169</v>
      </c>
      <c r="F28" s="16" t="s">
        <v>170</v>
      </c>
      <c r="G28" s="16" t="s">
        <v>171</v>
      </c>
      <c r="H28" s="16" t="s">
        <v>172</v>
      </c>
      <c r="I28" s="16" t="s">
        <v>173</v>
      </c>
      <c r="J28" s="16" t="s">
        <v>174</v>
      </c>
      <c r="K28" s="16" t="s">
        <v>175</v>
      </c>
      <c r="L28" s="16" t="s">
        <v>176</v>
      </c>
      <c r="M28" s="16" t="s">
        <v>177</v>
      </c>
      <c r="N28" s="16" t="s">
        <v>178</v>
      </c>
    </row>
    <row r="29" spans="1:14" ht="15" customHeight="1" x14ac:dyDescent="0.35">
      <c r="A29" s="17">
        <v>1</v>
      </c>
      <c r="B29" s="5">
        <f t="shared" ref="B29:B48" si="0">IF(A29&lt;=$C$9,1,0)</f>
        <v>1</v>
      </c>
      <c r="C29" s="18">
        <f t="shared" ref="C29:C48" si="1">MAX(0,MIN(1,$C$10-(A29-1)))</f>
        <v>0.83</v>
      </c>
      <c r="D29" s="18">
        <f t="shared" ref="D29:D48" si="2">MAX(0,MIN(1,A29-$C$24))</f>
        <v>0</v>
      </c>
      <c r="E29" s="18">
        <f t="shared" ref="E29:E48" si="3">MAX(0,A29-$C$25)</f>
        <v>0</v>
      </c>
      <c r="F29" s="18">
        <f t="shared" ref="F29:F48" si="4">MAX(0,MIN(A29,$C$10+$C$20)-MAX(A29-1,$C$10))</f>
        <v>0.17000000000000004</v>
      </c>
      <c r="G29" s="19">
        <f t="shared" ref="G29:G48" si="5">$C$5*(1+$C$6)^(A29-1)*(1-$C$7)</f>
        <v>48750</v>
      </c>
      <c r="H29" s="19">
        <f t="shared" ref="H29:H48" si="6">-$C$26*C29+$C$16*(1+$C$17)^E29*(1-$C$7)*D29-$C$23*F29</f>
        <v>-886.72545774759851</v>
      </c>
      <c r="I29" s="19">
        <f t="shared" ref="I29:I48" si="7">H29-G29</f>
        <v>-49636.725457747598</v>
      </c>
      <c r="J29" s="19">
        <f>I29</f>
        <v>-49636.725457747598</v>
      </c>
      <c r="K29" s="18">
        <f t="shared" ref="K29:K48" si="8">1/(1+$C$8)^A29</f>
        <v>0.95238095238095233</v>
      </c>
      <c r="L29" s="19">
        <f t="shared" ref="L29:L48" si="9">I29*K29*B29</f>
        <v>-47273.071864521517</v>
      </c>
      <c r="M29" s="20">
        <f t="shared" ref="M29:M48" si="10">(1+$C$17)^E29*(1-$C$7)*D29*K29*B29</f>
        <v>0</v>
      </c>
      <c r="N29" s="17">
        <f t="shared" ref="N29:N48" si="11">IF(AND(B29=1,COUNTIFS($A$29:$A$48,"&gt;="&amp;A29,$B$29:$B$48,1,$J$29:$J$48,"&lt;0")=0),A29,999)</f>
        <v>999</v>
      </c>
    </row>
    <row r="30" spans="1:14" ht="15" customHeight="1" x14ac:dyDescent="0.35">
      <c r="A30" s="17">
        <v>2</v>
      </c>
      <c r="B30" s="5">
        <f t="shared" si="0"/>
        <v>1</v>
      </c>
      <c r="C30" s="18">
        <f t="shared" si="1"/>
        <v>0</v>
      </c>
      <c r="D30" s="18">
        <f t="shared" si="2"/>
        <v>0.91999999999999993</v>
      </c>
      <c r="E30" s="18">
        <f t="shared" si="3"/>
        <v>0</v>
      </c>
      <c r="F30" s="18">
        <f t="shared" si="4"/>
        <v>1</v>
      </c>
      <c r="G30" s="19">
        <f t="shared" si="5"/>
        <v>50212.5</v>
      </c>
      <c r="H30" s="19">
        <f t="shared" si="6"/>
        <v>45338.887895602362</v>
      </c>
      <c r="I30" s="19">
        <f t="shared" si="7"/>
        <v>-4873.6121043976382</v>
      </c>
      <c r="J30" s="19">
        <f t="shared" ref="J30:J48" si="12">J29+I30</f>
        <v>-54510.337562145236</v>
      </c>
      <c r="K30" s="18">
        <f t="shared" si="8"/>
        <v>0.90702947845804982</v>
      </c>
      <c r="L30" s="19">
        <f t="shared" si="9"/>
        <v>-4420.509845258628</v>
      </c>
      <c r="M30" s="20">
        <f t="shared" si="10"/>
        <v>0.62585034013605434</v>
      </c>
      <c r="N30" s="17">
        <f t="shared" si="11"/>
        <v>999</v>
      </c>
    </row>
    <row r="31" spans="1:14" ht="15" customHeight="1" x14ac:dyDescent="0.35">
      <c r="A31" s="17">
        <v>3</v>
      </c>
      <c r="B31" s="5">
        <f t="shared" si="0"/>
        <v>1</v>
      </c>
      <c r="C31" s="18">
        <f t="shared" si="1"/>
        <v>0</v>
      </c>
      <c r="D31" s="18">
        <f t="shared" si="2"/>
        <v>1</v>
      </c>
      <c r="E31" s="18">
        <f t="shared" si="3"/>
        <v>1</v>
      </c>
      <c r="F31" s="18">
        <f t="shared" si="4"/>
        <v>1</v>
      </c>
      <c r="G31" s="19">
        <f t="shared" si="5"/>
        <v>51718.875</v>
      </c>
      <c r="H31" s="19">
        <f t="shared" si="6"/>
        <v>51933.007895602364</v>
      </c>
      <c r="I31" s="19">
        <f t="shared" si="7"/>
        <v>214.13289560236444</v>
      </c>
      <c r="J31" s="19">
        <f t="shared" si="12"/>
        <v>-54296.204666542872</v>
      </c>
      <c r="K31" s="18">
        <f t="shared" si="8"/>
        <v>0.86383759853147601</v>
      </c>
      <c r="L31" s="19">
        <f t="shared" si="9"/>
        <v>184.97604630373777</v>
      </c>
      <c r="M31" s="20">
        <f t="shared" si="10"/>
        <v>0.67379332685455129</v>
      </c>
      <c r="N31" s="17">
        <f t="shared" si="11"/>
        <v>999</v>
      </c>
    </row>
    <row r="32" spans="1:14" ht="15" customHeight="1" x14ac:dyDescent="0.35">
      <c r="A32" s="17">
        <v>4</v>
      </c>
      <c r="B32" s="5">
        <f t="shared" si="0"/>
        <v>1</v>
      </c>
      <c r="C32" s="18">
        <f t="shared" si="1"/>
        <v>0</v>
      </c>
      <c r="D32" s="18">
        <f t="shared" si="2"/>
        <v>1</v>
      </c>
      <c r="E32" s="18">
        <f t="shared" si="3"/>
        <v>2</v>
      </c>
      <c r="F32" s="18">
        <f t="shared" si="4"/>
        <v>1</v>
      </c>
      <c r="G32" s="19">
        <f t="shared" si="5"/>
        <v>53270.441250000003</v>
      </c>
      <c r="H32" s="19">
        <f t="shared" si="6"/>
        <v>54218.969495602374</v>
      </c>
      <c r="I32" s="19">
        <f t="shared" si="7"/>
        <v>948.52824560237059</v>
      </c>
      <c r="J32" s="19">
        <f t="shared" si="12"/>
        <v>-53347.676420940501</v>
      </c>
      <c r="K32" s="18">
        <f t="shared" si="8"/>
        <v>0.82270247479188197</v>
      </c>
      <c r="L32" s="19">
        <f t="shared" si="9"/>
        <v>780.35653506707229</v>
      </c>
      <c r="M32" s="20">
        <f t="shared" si="10"/>
        <v>0.66737624755117475</v>
      </c>
      <c r="N32" s="17">
        <f t="shared" si="11"/>
        <v>999</v>
      </c>
    </row>
    <row r="33" spans="1:14" ht="15" customHeight="1" x14ac:dyDescent="0.35">
      <c r="A33" s="17">
        <v>5</v>
      </c>
      <c r="B33" s="5">
        <f t="shared" si="0"/>
        <v>1</v>
      </c>
      <c r="C33" s="18">
        <f t="shared" si="1"/>
        <v>0</v>
      </c>
      <c r="D33" s="18">
        <f t="shared" si="2"/>
        <v>1</v>
      </c>
      <c r="E33" s="18">
        <f t="shared" si="3"/>
        <v>3</v>
      </c>
      <c r="F33" s="18">
        <f t="shared" si="4"/>
        <v>1</v>
      </c>
      <c r="G33" s="19">
        <f t="shared" si="5"/>
        <v>54868.554487499991</v>
      </c>
      <c r="H33" s="19">
        <f t="shared" si="6"/>
        <v>56596.369559602368</v>
      </c>
      <c r="I33" s="19">
        <f t="shared" si="7"/>
        <v>1727.8150721023776</v>
      </c>
      <c r="J33" s="19">
        <f t="shared" si="12"/>
        <v>-51619.861348838123</v>
      </c>
      <c r="K33" s="18">
        <f t="shared" si="8"/>
        <v>0.78352616646845896</v>
      </c>
      <c r="L33" s="19">
        <f t="shared" si="9"/>
        <v>1353.7883198108</v>
      </c>
      <c r="M33" s="20">
        <f t="shared" si="10"/>
        <v>0.66102028328878248</v>
      </c>
      <c r="N33" s="17">
        <f t="shared" si="11"/>
        <v>999</v>
      </c>
    </row>
    <row r="34" spans="1:14" ht="15" customHeight="1" x14ac:dyDescent="0.35">
      <c r="A34" s="17">
        <v>6</v>
      </c>
      <c r="B34" s="5">
        <f t="shared" si="0"/>
        <v>1</v>
      </c>
      <c r="C34" s="18">
        <f t="shared" si="1"/>
        <v>0</v>
      </c>
      <c r="D34" s="18">
        <f t="shared" si="2"/>
        <v>1</v>
      </c>
      <c r="E34" s="18">
        <f t="shared" si="3"/>
        <v>4</v>
      </c>
      <c r="F34" s="18">
        <f t="shared" si="4"/>
        <v>1</v>
      </c>
      <c r="G34" s="19">
        <f t="shared" si="5"/>
        <v>56514.611122124988</v>
      </c>
      <c r="H34" s="19">
        <f t="shared" si="6"/>
        <v>59068.865626162376</v>
      </c>
      <c r="I34" s="19">
        <f t="shared" si="7"/>
        <v>2554.254504037388</v>
      </c>
      <c r="J34" s="19">
        <f t="shared" si="12"/>
        <v>-49065.606844800735</v>
      </c>
      <c r="K34" s="18">
        <f t="shared" si="8"/>
        <v>0.74621539663662761</v>
      </c>
      <c r="L34" s="19">
        <f t="shared" si="9"/>
        <v>1906.024037841152</v>
      </c>
      <c r="M34" s="20">
        <f t="shared" si="10"/>
        <v>0.65472485201936559</v>
      </c>
      <c r="N34" s="17">
        <f t="shared" si="11"/>
        <v>999</v>
      </c>
    </row>
    <row r="35" spans="1:14" ht="15" customHeight="1" x14ac:dyDescent="0.35">
      <c r="A35" s="17">
        <v>7</v>
      </c>
      <c r="B35" s="5">
        <f t="shared" si="0"/>
        <v>1</v>
      </c>
      <c r="C35" s="18">
        <f t="shared" si="1"/>
        <v>0</v>
      </c>
      <c r="D35" s="18">
        <f t="shared" si="2"/>
        <v>1</v>
      </c>
      <c r="E35" s="18">
        <f t="shared" si="3"/>
        <v>5</v>
      </c>
      <c r="F35" s="18">
        <f t="shared" si="4"/>
        <v>1</v>
      </c>
      <c r="G35" s="19">
        <f t="shared" si="5"/>
        <v>58210.049455788743</v>
      </c>
      <c r="H35" s="19">
        <f t="shared" si="6"/>
        <v>61640.261535384787</v>
      </c>
      <c r="I35" s="19">
        <f t="shared" si="7"/>
        <v>3430.2120795960436</v>
      </c>
      <c r="J35" s="19">
        <f t="shared" si="12"/>
        <v>-45635.394765204692</v>
      </c>
      <c r="K35" s="18">
        <f t="shared" si="8"/>
        <v>0.71068133013012147</v>
      </c>
      <c r="L35" s="19">
        <f t="shared" si="9"/>
        <v>2437.7876833557266</v>
      </c>
      <c r="M35" s="20">
        <f t="shared" si="10"/>
        <v>0.64848937723822886</v>
      </c>
      <c r="N35" s="17">
        <f t="shared" si="11"/>
        <v>999</v>
      </c>
    </row>
    <row r="36" spans="1:14" ht="15" customHeight="1" x14ac:dyDescent="0.35">
      <c r="A36" s="17">
        <v>8</v>
      </c>
      <c r="B36" s="5">
        <f t="shared" si="0"/>
        <v>1</v>
      </c>
      <c r="C36" s="18">
        <f t="shared" si="1"/>
        <v>0</v>
      </c>
      <c r="D36" s="18">
        <f t="shared" si="2"/>
        <v>1</v>
      </c>
      <c r="E36" s="18">
        <f t="shared" si="3"/>
        <v>6</v>
      </c>
      <c r="F36" s="18">
        <f t="shared" si="4"/>
        <v>1</v>
      </c>
      <c r="G36" s="19">
        <f t="shared" si="5"/>
        <v>59956.350939462412</v>
      </c>
      <c r="H36" s="19">
        <f t="shared" si="6"/>
        <v>64314.513280976091</v>
      </c>
      <c r="I36" s="19">
        <f t="shared" si="7"/>
        <v>4358.1623415136783</v>
      </c>
      <c r="J36" s="19">
        <f t="shared" si="12"/>
        <v>-41277.232423691014</v>
      </c>
      <c r="K36" s="18">
        <f t="shared" si="8"/>
        <v>0.67683936202868722</v>
      </c>
      <c r="L36" s="19">
        <f t="shared" si="9"/>
        <v>2949.7758188475677</v>
      </c>
      <c r="M36" s="20">
        <f t="shared" si="10"/>
        <v>0.64231328793119824</v>
      </c>
      <c r="N36" s="17">
        <f t="shared" si="11"/>
        <v>999</v>
      </c>
    </row>
    <row r="37" spans="1:14" ht="15" customHeight="1" x14ac:dyDescent="0.35">
      <c r="A37" s="17">
        <v>9</v>
      </c>
      <c r="B37" s="5">
        <f t="shared" si="0"/>
        <v>1</v>
      </c>
      <c r="C37" s="18">
        <f t="shared" si="1"/>
        <v>0</v>
      </c>
      <c r="D37" s="18">
        <f t="shared" si="2"/>
        <v>1</v>
      </c>
      <c r="E37" s="18">
        <f t="shared" si="3"/>
        <v>7</v>
      </c>
      <c r="F37" s="18">
        <f t="shared" si="4"/>
        <v>1</v>
      </c>
      <c r="G37" s="19">
        <f t="shared" si="5"/>
        <v>61755.041467646268</v>
      </c>
      <c r="H37" s="19">
        <f t="shared" si="6"/>
        <v>67095.735096391014</v>
      </c>
      <c r="I37" s="19">
        <f t="shared" si="7"/>
        <v>5340.6936287447461</v>
      </c>
      <c r="J37" s="19">
        <f t="shared" si="12"/>
        <v>-35936.538794946267</v>
      </c>
      <c r="K37" s="18">
        <f t="shared" si="8"/>
        <v>0.64460891621779726</v>
      </c>
      <c r="L37" s="19">
        <f t="shared" si="9"/>
        <v>3442.6587318764455</v>
      </c>
      <c r="M37" s="20">
        <f t="shared" si="10"/>
        <v>0.63619601852232943</v>
      </c>
      <c r="N37" s="17">
        <f t="shared" si="11"/>
        <v>999</v>
      </c>
    </row>
    <row r="38" spans="1:14" ht="15" customHeight="1" x14ac:dyDescent="0.35">
      <c r="A38" s="17">
        <v>10</v>
      </c>
      <c r="B38" s="5">
        <f t="shared" si="0"/>
        <v>1</v>
      </c>
      <c r="C38" s="18">
        <f t="shared" si="1"/>
        <v>0</v>
      </c>
      <c r="D38" s="18">
        <f t="shared" si="2"/>
        <v>1</v>
      </c>
      <c r="E38" s="18">
        <f t="shared" si="3"/>
        <v>8</v>
      </c>
      <c r="F38" s="18">
        <f t="shared" si="4"/>
        <v>1</v>
      </c>
      <c r="G38" s="19">
        <f t="shared" si="5"/>
        <v>63607.692711675671</v>
      </c>
      <c r="H38" s="19">
        <f t="shared" si="6"/>
        <v>69988.205784422564</v>
      </c>
      <c r="I38" s="19">
        <f t="shared" si="7"/>
        <v>6380.5130727468932</v>
      </c>
      <c r="J38" s="19">
        <f t="shared" si="12"/>
        <v>-29556.025722199374</v>
      </c>
      <c r="K38" s="18">
        <f t="shared" si="8"/>
        <v>0.61391325354075932</v>
      </c>
      <c r="L38" s="19">
        <f t="shared" si="9"/>
        <v>3917.0815397493925</v>
      </c>
      <c r="M38" s="20">
        <f t="shared" si="10"/>
        <v>0.63013700882211698</v>
      </c>
      <c r="N38" s="17">
        <f t="shared" si="11"/>
        <v>999</v>
      </c>
    </row>
    <row r="39" spans="1:14" ht="15" customHeight="1" x14ac:dyDescent="0.35">
      <c r="A39" s="17">
        <v>11</v>
      </c>
      <c r="B39" s="5">
        <f t="shared" si="0"/>
        <v>0</v>
      </c>
      <c r="C39" s="18">
        <f t="shared" si="1"/>
        <v>0</v>
      </c>
      <c r="D39" s="18">
        <f t="shared" si="2"/>
        <v>1</v>
      </c>
      <c r="E39" s="18">
        <f t="shared" si="3"/>
        <v>9</v>
      </c>
      <c r="F39" s="18">
        <f t="shared" si="4"/>
        <v>0.83000000000000007</v>
      </c>
      <c r="G39" s="19">
        <f t="shared" si="5"/>
        <v>65515.923493025934</v>
      </c>
      <c r="H39" s="19">
        <f t="shared" si="6"/>
        <v>73883.10075772299</v>
      </c>
      <c r="I39" s="19">
        <f t="shared" si="7"/>
        <v>8367.1772646970567</v>
      </c>
      <c r="J39" s="19">
        <f t="shared" si="12"/>
        <v>-21188.848457502318</v>
      </c>
      <c r="K39" s="18">
        <f t="shared" si="8"/>
        <v>0.5846792890864374</v>
      </c>
      <c r="L39" s="19">
        <f t="shared" si="9"/>
        <v>0</v>
      </c>
      <c r="M39" s="20">
        <f t="shared" si="10"/>
        <v>0</v>
      </c>
      <c r="N39" s="17">
        <f t="shared" si="11"/>
        <v>999</v>
      </c>
    </row>
    <row r="40" spans="1:14" ht="15" customHeight="1" x14ac:dyDescent="0.35">
      <c r="A40" s="17">
        <v>12</v>
      </c>
      <c r="B40" s="5">
        <f t="shared" si="0"/>
        <v>0</v>
      </c>
      <c r="C40" s="18">
        <f t="shared" si="1"/>
        <v>0</v>
      </c>
      <c r="D40" s="18">
        <f t="shared" si="2"/>
        <v>1</v>
      </c>
      <c r="E40" s="18">
        <f t="shared" si="3"/>
        <v>10</v>
      </c>
      <c r="F40" s="18">
        <f t="shared" si="4"/>
        <v>0</v>
      </c>
      <c r="G40" s="19">
        <f t="shared" si="5"/>
        <v>67481.401197816725</v>
      </c>
      <c r="H40" s="19">
        <f t="shared" si="6"/>
        <v>81340.903700547962</v>
      </c>
      <c r="I40" s="19">
        <f t="shared" si="7"/>
        <v>13859.502502731237</v>
      </c>
      <c r="J40" s="19">
        <f t="shared" si="12"/>
        <v>-7329.3459547710809</v>
      </c>
      <c r="K40" s="18">
        <f t="shared" si="8"/>
        <v>0.5568374181775595</v>
      </c>
      <c r="L40" s="19">
        <f t="shared" si="9"/>
        <v>0</v>
      </c>
      <c r="M40" s="20">
        <f t="shared" si="10"/>
        <v>0</v>
      </c>
      <c r="N40" s="17">
        <f t="shared" si="11"/>
        <v>999</v>
      </c>
    </row>
    <row r="41" spans="1:14" ht="15" customHeight="1" x14ac:dyDescent="0.35">
      <c r="A41" s="17">
        <v>13</v>
      </c>
      <c r="B41" s="5">
        <f t="shared" si="0"/>
        <v>0</v>
      </c>
      <c r="C41" s="18">
        <f t="shared" si="1"/>
        <v>0</v>
      </c>
      <c r="D41" s="18">
        <f t="shared" si="2"/>
        <v>1</v>
      </c>
      <c r="E41" s="18">
        <f t="shared" si="3"/>
        <v>11</v>
      </c>
      <c r="F41" s="18">
        <f t="shared" si="4"/>
        <v>0</v>
      </c>
      <c r="G41" s="19">
        <f t="shared" si="5"/>
        <v>69505.84323375122</v>
      </c>
      <c r="H41" s="19">
        <f t="shared" si="6"/>
        <v>84594.539848569868</v>
      </c>
      <c r="I41" s="19">
        <f t="shared" si="7"/>
        <v>15088.696614818648</v>
      </c>
      <c r="J41" s="19">
        <f t="shared" si="12"/>
        <v>7759.3506600475666</v>
      </c>
      <c r="K41" s="18">
        <f t="shared" si="8"/>
        <v>0.53032135064529462</v>
      </c>
      <c r="L41" s="19">
        <f t="shared" si="9"/>
        <v>0</v>
      </c>
      <c r="M41" s="20">
        <f t="shared" si="10"/>
        <v>0</v>
      </c>
      <c r="N41" s="17">
        <f t="shared" si="11"/>
        <v>999</v>
      </c>
    </row>
    <row r="42" spans="1:14" ht="15" customHeight="1" x14ac:dyDescent="0.35">
      <c r="A42" s="17">
        <v>14</v>
      </c>
      <c r="B42" s="5">
        <f t="shared" si="0"/>
        <v>0</v>
      </c>
      <c r="C42" s="18">
        <f t="shared" si="1"/>
        <v>0</v>
      </c>
      <c r="D42" s="18">
        <f t="shared" si="2"/>
        <v>1</v>
      </c>
      <c r="E42" s="18">
        <f t="shared" si="3"/>
        <v>12</v>
      </c>
      <c r="F42" s="18">
        <f t="shared" si="4"/>
        <v>0</v>
      </c>
      <c r="G42" s="19">
        <f t="shared" si="5"/>
        <v>71591.018530763744</v>
      </c>
      <c r="H42" s="19">
        <f t="shared" si="6"/>
        <v>87978.321442512679</v>
      </c>
      <c r="I42" s="19">
        <f t="shared" si="7"/>
        <v>16387.302911748935</v>
      </c>
      <c r="J42" s="19">
        <f t="shared" si="12"/>
        <v>24146.653571796502</v>
      </c>
      <c r="K42" s="18">
        <f t="shared" si="8"/>
        <v>0.50506795299551888</v>
      </c>
      <c r="L42" s="19">
        <f t="shared" si="9"/>
        <v>0</v>
      </c>
      <c r="M42" s="20">
        <f t="shared" si="10"/>
        <v>0</v>
      </c>
      <c r="N42" s="17">
        <f t="shared" si="11"/>
        <v>999</v>
      </c>
    </row>
    <row r="43" spans="1:14" ht="15" customHeight="1" x14ac:dyDescent="0.35">
      <c r="A43" s="17">
        <v>15</v>
      </c>
      <c r="B43" s="5">
        <f t="shared" si="0"/>
        <v>0</v>
      </c>
      <c r="C43" s="18">
        <f t="shared" si="1"/>
        <v>0</v>
      </c>
      <c r="D43" s="18">
        <f t="shared" si="2"/>
        <v>1</v>
      </c>
      <c r="E43" s="18">
        <f t="shared" si="3"/>
        <v>13</v>
      </c>
      <c r="F43" s="18">
        <f t="shared" si="4"/>
        <v>0</v>
      </c>
      <c r="G43" s="19">
        <f t="shared" si="5"/>
        <v>73738.749086686672</v>
      </c>
      <c r="H43" s="19">
        <f t="shared" si="6"/>
        <v>91497.454300213198</v>
      </c>
      <c r="I43" s="19">
        <f t="shared" si="7"/>
        <v>17758.705213526526</v>
      </c>
      <c r="J43" s="19">
        <f t="shared" si="12"/>
        <v>41905.358785323027</v>
      </c>
      <c r="K43" s="18">
        <f t="shared" si="8"/>
        <v>0.48101709809097021</v>
      </c>
      <c r="L43" s="19">
        <f t="shared" si="9"/>
        <v>0</v>
      </c>
      <c r="M43" s="20">
        <f t="shared" si="10"/>
        <v>0</v>
      </c>
      <c r="N43" s="17">
        <f t="shared" si="11"/>
        <v>999</v>
      </c>
    </row>
    <row r="44" spans="1:14" ht="15" customHeight="1" x14ac:dyDescent="0.35">
      <c r="A44" s="17">
        <v>16</v>
      </c>
      <c r="B44" s="5">
        <f t="shared" si="0"/>
        <v>0</v>
      </c>
      <c r="C44" s="18">
        <f t="shared" si="1"/>
        <v>0</v>
      </c>
      <c r="D44" s="18">
        <f t="shared" si="2"/>
        <v>1</v>
      </c>
      <c r="E44" s="18">
        <f t="shared" si="3"/>
        <v>14</v>
      </c>
      <c r="F44" s="18">
        <f t="shared" si="4"/>
        <v>0</v>
      </c>
      <c r="G44" s="19">
        <f t="shared" si="5"/>
        <v>75950.911559287255</v>
      </c>
      <c r="H44" s="19">
        <f t="shared" si="6"/>
        <v>95157.352472221712</v>
      </c>
      <c r="I44" s="19">
        <f t="shared" si="7"/>
        <v>19206.440912934457</v>
      </c>
      <c r="J44" s="19">
        <f t="shared" si="12"/>
        <v>61111.799698257484</v>
      </c>
      <c r="K44" s="18">
        <f t="shared" si="8"/>
        <v>0.45811152199140021</v>
      </c>
      <c r="L44" s="19">
        <f t="shared" si="9"/>
        <v>0</v>
      </c>
      <c r="M44" s="20">
        <f t="shared" si="10"/>
        <v>0</v>
      </c>
      <c r="N44" s="17">
        <f t="shared" si="11"/>
        <v>999</v>
      </c>
    </row>
    <row r="45" spans="1:14" ht="15" customHeight="1" x14ac:dyDescent="0.35">
      <c r="A45" s="17">
        <v>17</v>
      </c>
      <c r="B45" s="5">
        <f t="shared" si="0"/>
        <v>0</v>
      </c>
      <c r="C45" s="18">
        <f t="shared" si="1"/>
        <v>0</v>
      </c>
      <c r="D45" s="18">
        <f t="shared" si="2"/>
        <v>1</v>
      </c>
      <c r="E45" s="18">
        <f t="shared" si="3"/>
        <v>15</v>
      </c>
      <c r="F45" s="18">
        <f t="shared" si="4"/>
        <v>0</v>
      </c>
      <c r="G45" s="19">
        <f t="shared" si="5"/>
        <v>78229.438906065858</v>
      </c>
      <c r="H45" s="19">
        <f t="shared" si="6"/>
        <v>98963.646571110585</v>
      </c>
      <c r="I45" s="19">
        <f t="shared" si="7"/>
        <v>20734.207665044727</v>
      </c>
      <c r="J45" s="19">
        <f t="shared" si="12"/>
        <v>81846.007363302211</v>
      </c>
      <c r="K45" s="18">
        <f t="shared" si="8"/>
        <v>0.43629668761085727</v>
      </c>
      <c r="L45" s="19">
        <f t="shared" si="9"/>
        <v>0</v>
      </c>
      <c r="M45" s="20">
        <f t="shared" si="10"/>
        <v>0</v>
      </c>
      <c r="N45" s="17">
        <f t="shared" si="11"/>
        <v>999</v>
      </c>
    </row>
    <row r="46" spans="1:14" ht="15" customHeight="1" x14ac:dyDescent="0.35">
      <c r="A46" s="17">
        <v>18</v>
      </c>
      <c r="B46" s="5">
        <f t="shared" si="0"/>
        <v>0</v>
      </c>
      <c r="C46" s="18">
        <f t="shared" si="1"/>
        <v>0</v>
      </c>
      <c r="D46" s="18">
        <f t="shared" si="2"/>
        <v>1</v>
      </c>
      <c r="E46" s="18">
        <f t="shared" si="3"/>
        <v>16</v>
      </c>
      <c r="F46" s="18">
        <f t="shared" si="4"/>
        <v>0</v>
      </c>
      <c r="G46" s="19">
        <f t="shared" si="5"/>
        <v>80576.322073247851</v>
      </c>
      <c r="H46" s="19">
        <f t="shared" si="6"/>
        <v>102922.19243395503</v>
      </c>
      <c r="I46" s="19">
        <f t="shared" si="7"/>
        <v>22345.87036070718</v>
      </c>
      <c r="J46" s="19">
        <f t="shared" si="12"/>
        <v>104191.87772400939</v>
      </c>
      <c r="K46" s="18">
        <f t="shared" si="8"/>
        <v>0.41552065486748313</v>
      </c>
      <c r="L46" s="19">
        <f t="shared" si="9"/>
        <v>0</v>
      </c>
      <c r="M46" s="20">
        <f t="shared" si="10"/>
        <v>0</v>
      </c>
      <c r="N46" s="17">
        <f t="shared" si="11"/>
        <v>999</v>
      </c>
    </row>
    <row r="47" spans="1:14" ht="15" customHeight="1" x14ac:dyDescent="0.35">
      <c r="A47" s="17">
        <v>19</v>
      </c>
      <c r="B47" s="5">
        <f t="shared" si="0"/>
        <v>0</v>
      </c>
      <c r="C47" s="18">
        <f t="shared" si="1"/>
        <v>0</v>
      </c>
      <c r="D47" s="18">
        <f t="shared" si="2"/>
        <v>1</v>
      </c>
      <c r="E47" s="18">
        <f t="shared" si="3"/>
        <v>17</v>
      </c>
      <c r="F47" s="18">
        <f t="shared" si="4"/>
        <v>0</v>
      </c>
      <c r="G47" s="19">
        <f t="shared" si="5"/>
        <v>82993.611735445287</v>
      </c>
      <c r="H47" s="19">
        <f t="shared" si="6"/>
        <v>107039.08013131321</v>
      </c>
      <c r="I47" s="19">
        <f t="shared" si="7"/>
        <v>24045.468395867923</v>
      </c>
      <c r="J47" s="19">
        <f t="shared" si="12"/>
        <v>128237.34611987731</v>
      </c>
      <c r="K47" s="18">
        <f t="shared" si="8"/>
        <v>0.39573395701665059</v>
      </c>
      <c r="L47" s="19">
        <f t="shared" si="9"/>
        <v>0</v>
      </c>
      <c r="M47" s="20">
        <f t="shared" si="10"/>
        <v>0</v>
      </c>
      <c r="N47" s="17">
        <f t="shared" si="11"/>
        <v>999</v>
      </c>
    </row>
    <row r="48" spans="1:14" ht="15" customHeight="1" x14ac:dyDescent="0.35">
      <c r="A48" s="17">
        <v>20</v>
      </c>
      <c r="B48" s="5">
        <f t="shared" si="0"/>
        <v>0</v>
      </c>
      <c r="C48" s="18">
        <f t="shared" si="1"/>
        <v>0</v>
      </c>
      <c r="D48" s="18">
        <f t="shared" si="2"/>
        <v>1</v>
      </c>
      <c r="E48" s="18">
        <f t="shared" si="3"/>
        <v>18</v>
      </c>
      <c r="F48" s="18">
        <f t="shared" si="4"/>
        <v>0</v>
      </c>
      <c r="G48" s="19">
        <f t="shared" si="5"/>
        <v>85483.420087508639</v>
      </c>
      <c r="H48" s="19">
        <f t="shared" si="6"/>
        <v>111320.64333656576</v>
      </c>
      <c r="I48" s="19">
        <f t="shared" si="7"/>
        <v>25837.223249057119</v>
      </c>
      <c r="J48" s="19">
        <f t="shared" si="12"/>
        <v>154074.56936893443</v>
      </c>
      <c r="K48" s="18">
        <f t="shared" si="8"/>
        <v>0.37688948287300061</v>
      </c>
      <c r="L48" s="19">
        <f t="shared" si="9"/>
        <v>0</v>
      </c>
      <c r="M48" s="20">
        <f t="shared" si="10"/>
        <v>0</v>
      </c>
      <c r="N48" s="17">
        <f t="shared" si="11"/>
        <v>999</v>
      </c>
    </row>
    <row r="50" spans="1:3" ht="15" customHeight="1" x14ac:dyDescent="0.35">
      <c r="A50" s="3" t="s">
        <v>179</v>
      </c>
    </row>
    <row r="51" spans="1:3" ht="15" customHeight="1" x14ac:dyDescent="0.35">
      <c r="A51" t="s">
        <v>180</v>
      </c>
      <c r="C51" s="21" t="str">
        <f>IF(MIN(N29:N48)=999,"Not within horizon",MIN(N29:N48))</f>
        <v>Not within horizon</v>
      </c>
    </row>
    <row r="52" spans="1:3" ht="15" customHeight="1" x14ac:dyDescent="0.35">
      <c r="A52" t="s">
        <v>181</v>
      </c>
      <c r="C52" s="22">
        <f>SUM(L29:L48)</f>
        <v>-34721.132996928252</v>
      </c>
    </row>
    <row r="53" spans="1:3" ht="15" customHeight="1" x14ac:dyDescent="0.35">
      <c r="A53" t="s">
        <v>182</v>
      </c>
      <c r="C53" s="23">
        <f>SUM(M29:M48)</f>
        <v>5.8399007423638016</v>
      </c>
    </row>
    <row r="54" spans="1:3" ht="15" customHeight="1" x14ac:dyDescent="0.35">
      <c r="A54" t="s">
        <v>183</v>
      </c>
      <c r="C54" s="22">
        <f>IF(C53=0,"n/a",($C$16*C53-C52)/C53)</f>
        <v>79213.500536516702</v>
      </c>
    </row>
    <row r="55" spans="1:3" ht="15" customHeight="1" x14ac:dyDescent="0.35">
      <c r="A55" t="s">
        <v>184</v>
      </c>
      <c r="C55" s="22">
        <f>IF(C53=0,"n/a",C52+(C54-$C$16)*C53)</f>
        <v>1.4551915228366852E-11</v>
      </c>
    </row>
    <row r="56" spans="1:3" ht="15" customHeight="1" x14ac:dyDescent="0.35">
      <c r="A56" t="s">
        <v>185</v>
      </c>
      <c r="C56" s="22">
        <f>INDEX(J29:J48,$C$9)</f>
        <v>-29556.025722199374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6"/>
  <sheetViews>
    <sheetView zoomScaleNormal="100" workbookViewId="0">
      <pane ySplit="28" topLeftCell="A29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14" width="15" customWidth="1"/>
  </cols>
  <sheetData>
    <row r="1" spans="1:3" ht="16.149999999999999" customHeight="1" x14ac:dyDescent="0.35">
      <c r="A1" s="1" t="s">
        <v>31</v>
      </c>
    </row>
    <row r="2" spans="1:3" ht="15" customHeight="1" x14ac:dyDescent="0.35">
      <c r="A2" s="8" t="s">
        <v>188</v>
      </c>
    </row>
    <row r="4" spans="1:3" ht="15" customHeight="1" x14ac:dyDescent="0.35">
      <c r="A4" s="3" t="s">
        <v>131</v>
      </c>
      <c r="B4" s="3" t="s">
        <v>132</v>
      </c>
    </row>
    <row r="5" spans="1:3" ht="15" customHeight="1" x14ac:dyDescent="0.35">
      <c r="A5" s="2" t="s">
        <v>133</v>
      </c>
      <c r="B5" s="2" t="s">
        <v>92</v>
      </c>
      <c r="C5" s="9">
        <v>55000</v>
      </c>
    </row>
    <row r="6" spans="1:3" ht="15" customHeight="1" x14ac:dyDescent="0.35">
      <c r="A6" s="2" t="s">
        <v>134</v>
      </c>
      <c r="B6" s="2" t="s">
        <v>95</v>
      </c>
      <c r="C6" s="10">
        <v>0.03</v>
      </c>
    </row>
    <row r="7" spans="1:3" ht="15" customHeight="1" x14ac:dyDescent="0.35">
      <c r="A7" s="2" t="s">
        <v>135</v>
      </c>
      <c r="B7" s="2" t="s">
        <v>119</v>
      </c>
      <c r="C7" s="10">
        <v>0.25</v>
      </c>
    </row>
    <row r="8" spans="1:3" ht="15" customHeight="1" x14ac:dyDescent="0.35">
      <c r="A8" s="2" t="s">
        <v>136</v>
      </c>
      <c r="B8" s="2" t="s">
        <v>137</v>
      </c>
      <c r="C8" s="10">
        <v>0.05</v>
      </c>
    </row>
    <row r="9" spans="1:3" ht="15" customHeight="1" x14ac:dyDescent="0.35">
      <c r="A9" s="2" t="s">
        <v>138</v>
      </c>
      <c r="B9" s="2" t="s">
        <v>139</v>
      </c>
      <c r="C9" s="11">
        <v>10</v>
      </c>
    </row>
    <row r="10" spans="1:3" ht="15" customHeight="1" x14ac:dyDescent="0.35">
      <c r="A10" s="2" t="s">
        <v>140</v>
      </c>
      <c r="B10" s="2" t="s">
        <v>141</v>
      </c>
      <c r="C10" s="12">
        <v>1</v>
      </c>
    </row>
    <row r="11" spans="1:3" ht="15" customHeight="1" x14ac:dyDescent="0.35">
      <c r="A11" s="2" t="s">
        <v>142</v>
      </c>
      <c r="B11" s="2" t="s">
        <v>121</v>
      </c>
      <c r="C11" s="9">
        <v>30000</v>
      </c>
    </row>
    <row r="12" spans="1:3" ht="15" customHeight="1" x14ac:dyDescent="0.35">
      <c r="A12" s="2" t="s">
        <v>143</v>
      </c>
      <c r="B12" s="2" t="s">
        <v>58</v>
      </c>
      <c r="C12" s="9">
        <v>10000</v>
      </c>
    </row>
    <row r="13" spans="1:3" ht="15" customHeight="1" x14ac:dyDescent="0.35">
      <c r="A13" s="2" t="s">
        <v>144</v>
      </c>
      <c r="B13" s="2" t="s">
        <v>122</v>
      </c>
      <c r="C13" s="9">
        <v>0</v>
      </c>
    </row>
    <row r="14" spans="1:3" ht="15" customHeight="1" x14ac:dyDescent="0.35">
      <c r="A14" s="2" t="s">
        <v>145</v>
      </c>
      <c r="B14" s="2" t="s">
        <v>49</v>
      </c>
      <c r="C14" s="9">
        <v>0</v>
      </c>
    </row>
    <row r="15" spans="1:3" ht="15" customHeight="1" x14ac:dyDescent="0.35">
      <c r="A15" s="2" t="s">
        <v>146</v>
      </c>
      <c r="B15" s="2" t="s">
        <v>147</v>
      </c>
      <c r="C15" s="11">
        <v>3</v>
      </c>
    </row>
    <row r="16" spans="1:3" ht="15" customHeight="1" x14ac:dyDescent="0.35">
      <c r="A16" s="2" t="s">
        <v>148</v>
      </c>
      <c r="B16" s="2" t="s">
        <v>149</v>
      </c>
      <c r="C16" s="9">
        <v>75000</v>
      </c>
    </row>
    <row r="17" spans="1:14" ht="15" customHeight="1" x14ac:dyDescent="0.35">
      <c r="A17" s="2" t="s">
        <v>150</v>
      </c>
      <c r="B17" s="2" t="s">
        <v>151</v>
      </c>
      <c r="C17" s="10">
        <v>0.04</v>
      </c>
    </row>
    <row r="18" spans="1:14" ht="15" customHeight="1" x14ac:dyDescent="0.35">
      <c r="A18" s="2" t="s">
        <v>152</v>
      </c>
      <c r="B18" s="2" t="s">
        <v>59</v>
      </c>
      <c r="C18" s="9">
        <v>0</v>
      </c>
    </row>
    <row r="19" spans="1:14" ht="15" customHeight="1" x14ac:dyDescent="0.35">
      <c r="A19" s="2" t="s">
        <v>153</v>
      </c>
      <c r="B19" s="2" t="s">
        <v>154</v>
      </c>
      <c r="C19" s="10">
        <v>0.08</v>
      </c>
    </row>
    <row r="20" spans="1:14" ht="15" customHeight="1" x14ac:dyDescent="0.35">
      <c r="A20" s="2" t="s">
        <v>155</v>
      </c>
      <c r="B20" s="2" t="s">
        <v>156</v>
      </c>
      <c r="C20" s="11">
        <v>10</v>
      </c>
    </row>
    <row r="22" spans="1:14" ht="15" customHeight="1" x14ac:dyDescent="0.35">
      <c r="A22" s="3" t="s">
        <v>157</v>
      </c>
    </row>
    <row r="23" spans="1:14" ht="15" customHeight="1" x14ac:dyDescent="0.35">
      <c r="A23" t="s">
        <v>158</v>
      </c>
      <c r="B23" t="s">
        <v>159</v>
      </c>
      <c r="C23" s="13">
        <f>IF($C$18=0,0,$C$18*$C$19/(1-(1+$C$19)^(-$C$20)))</f>
        <v>0</v>
      </c>
    </row>
    <row r="24" spans="1:14" ht="15" customHeight="1" x14ac:dyDescent="0.35">
      <c r="A24" t="s">
        <v>160</v>
      </c>
      <c r="B24" t="s">
        <v>161</v>
      </c>
      <c r="C24" s="14">
        <f>$C$10+$C$15/12</f>
        <v>1.25</v>
      </c>
    </row>
    <row r="25" spans="1:14" ht="15" customHeight="1" x14ac:dyDescent="0.35">
      <c r="A25" t="s">
        <v>162</v>
      </c>
      <c r="B25" t="s">
        <v>163</v>
      </c>
      <c r="C25" s="15">
        <f>INT($C$24)+1</f>
        <v>2</v>
      </c>
    </row>
    <row r="26" spans="1:14" ht="15" customHeight="1" x14ac:dyDescent="0.35">
      <c r="A26" t="s">
        <v>164</v>
      </c>
      <c r="B26" t="s">
        <v>65</v>
      </c>
      <c r="C26" s="13">
        <f>($C$11-$C$12-$C$18)/$C$10+$C$14-$C$13*(1-$C$7)</f>
        <v>20000</v>
      </c>
    </row>
    <row r="28" spans="1:14" ht="42" customHeight="1" x14ac:dyDescent="0.35">
      <c r="A28" s="16" t="s">
        <v>165</v>
      </c>
      <c r="B28" s="16" t="s">
        <v>166</v>
      </c>
      <c r="C28" s="16" t="s">
        <v>167</v>
      </c>
      <c r="D28" s="16" t="s">
        <v>168</v>
      </c>
      <c r="E28" s="16" t="s">
        <v>169</v>
      </c>
      <c r="F28" s="16" t="s">
        <v>170</v>
      </c>
      <c r="G28" s="16" t="s">
        <v>171</v>
      </c>
      <c r="H28" s="16" t="s">
        <v>172</v>
      </c>
      <c r="I28" s="16" t="s">
        <v>173</v>
      </c>
      <c r="J28" s="16" t="s">
        <v>174</v>
      </c>
      <c r="K28" s="16" t="s">
        <v>175</v>
      </c>
      <c r="L28" s="16" t="s">
        <v>176</v>
      </c>
      <c r="M28" s="16" t="s">
        <v>177</v>
      </c>
      <c r="N28" s="16" t="s">
        <v>178</v>
      </c>
    </row>
    <row r="29" spans="1:14" ht="15" customHeight="1" x14ac:dyDescent="0.35">
      <c r="A29" s="17">
        <v>1</v>
      </c>
      <c r="B29" s="5">
        <f t="shared" ref="B29:B48" si="0">IF(A29&lt;=$C$9,1,0)</f>
        <v>1</v>
      </c>
      <c r="C29" s="18">
        <f t="shared" ref="C29:C48" si="1">MAX(0,MIN(1,$C$10-(A29-1)))</f>
        <v>1</v>
      </c>
      <c r="D29" s="18">
        <f t="shared" ref="D29:D48" si="2">MAX(0,MIN(1,A29-$C$24))</f>
        <v>0</v>
      </c>
      <c r="E29" s="18">
        <f t="shared" ref="E29:E48" si="3">MAX(0,A29-$C$25)</f>
        <v>0</v>
      </c>
      <c r="F29" s="18">
        <f t="shared" ref="F29:F48" si="4">MAX(0,MIN(A29,$C$10+$C$20)-MAX(A29-1,$C$10))</f>
        <v>0</v>
      </c>
      <c r="G29" s="19">
        <f t="shared" ref="G29:G48" si="5">$C$5*(1+$C$6)^(A29-1)*(1-$C$7)</f>
        <v>41250</v>
      </c>
      <c r="H29" s="19">
        <f t="shared" ref="H29:H48" si="6">-$C$26*C29+$C$16*(1+$C$17)^E29*(1-$C$7)*D29-$C$23*F29</f>
        <v>-20000</v>
      </c>
      <c r="I29" s="19">
        <f t="shared" ref="I29:I48" si="7">H29-G29</f>
        <v>-61250</v>
      </c>
      <c r="J29" s="19">
        <f>I29</f>
        <v>-61250</v>
      </c>
      <c r="K29" s="18">
        <f t="shared" ref="K29:K48" si="8">1/(1+$C$8)^A29</f>
        <v>0.95238095238095233</v>
      </c>
      <c r="L29" s="19">
        <f t="shared" ref="L29:L48" si="9">I29*K29*B29</f>
        <v>-58333.333333333328</v>
      </c>
      <c r="M29" s="20">
        <f t="shared" ref="M29:M48" si="10">(1+$C$17)^E29*(1-$C$7)*D29*K29*B29</f>
        <v>0</v>
      </c>
      <c r="N29" s="17">
        <f t="shared" ref="N29:N48" si="11">IF(AND(B29=1,COUNTIFS($A$29:$A$48,"&gt;="&amp;A29,$B$29:$B$48,1,$J$29:$J$48,"&lt;0")=0),A29,999)</f>
        <v>999</v>
      </c>
    </row>
    <row r="30" spans="1:14" ht="15" customHeight="1" x14ac:dyDescent="0.35">
      <c r="A30" s="17">
        <v>2</v>
      </c>
      <c r="B30" s="5">
        <f t="shared" si="0"/>
        <v>1</v>
      </c>
      <c r="C30" s="18">
        <f t="shared" si="1"/>
        <v>0</v>
      </c>
      <c r="D30" s="18">
        <f t="shared" si="2"/>
        <v>0.75</v>
      </c>
      <c r="E30" s="18">
        <f t="shared" si="3"/>
        <v>0</v>
      </c>
      <c r="F30" s="18">
        <f t="shared" si="4"/>
        <v>1</v>
      </c>
      <c r="G30" s="19">
        <f t="shared" si="5"/>
        <v>42487.5</v>
      </c>
      <c r="H30" s="19">
        <f t="shared" si="6"/>
        <v>42187.5</v>
      </c>
      <c r="I30" s="19">
        <f t="shared" si="7"/>
        <v>-300</v>
      </c>
      <c r="J30" s="19">
        <f t="shared" ref="J30:J48" si="12">J29+I30</f>
        <v>-61550</v>
      </c>
      <c r="K30" s="18">
        <f t="shared" si="8"/>
        <v>0.90702947845804982</v>
      </c>
      <c r="L30" s="19">
        <f t="shared" si="9"/>
        <v>-272.10884353741494</v>
      </c>
      <c r="M30" s="20">
        <f t="shared" si="10"/>
        <v>0.51020408163265307</v>
      </c>
      <c r="N30" s="17">
        <f t="shared" si="11"/>
        <v>999</v>
      </c>
    </row>
    <row r="31" spans="1:14" ht="15" customHeight="1" x14ac:dyDescent="0.35">
      <c r="A31" s="17">
        <v>3</v>
      </c>
      <c r="B31" s="5">
        <f t="shared" si="0"/>
        <v>1</v>
      </c>
      <c r="C31" s="18">
        <f t="shared" si="1"/>
        <v>0</v>
      </c>
      <c r="D31" s="18">
        <f t="shared" si="2"/>
        <v>1</v>
      </c>
      <c r="E31" s="18">
        <f t="shared" si="3"/>
        <v>1</v>
      </c>
      <c r="F31" s="18">
        <f t="shared" si="4"/>
        <v>1</v>
      </c>
      <c r="G31" s="19">
        <f t="shared" si="5"/>
        <v>43762.125</v>
      </c>
      <c r="H31" s="19">
        <f t="shared" si="6"/>
        <v>58500</v>
      </c>
      <c r="I31" s="19">
        <f t="shared" si="7"/>
        <v>14737.875</v>
      </c>
      <c r="J31" s="19">
        <f t="shared" si="12"/>
        <v>-46812.125</v>
      </c>
      <c r="K31" s="18">
        <f t="shared" si="8"/>
        <v>0.86383759853147601</v>
      </c>
      <c r="L31" s="19">
        <f t="shared" si="9"/>
        <v>12731.130547457076</v>
      </c>
      <c r="M31" s="20">
        <f t="shared" si="10"/>
        <v>0.67379332685455129</v>
      </c>
      <c r="N31" s="17">
        <f t="shared" si="11"/>
        <v>999</v>
      </c>
    </row>
    <row r="32" spans="1:14" ht="15" customHeight="1" x14ac:dyDescent="0.35">
      <c r="A32" s="17">
        <v>4</v>
      </c>
      <c r="B32" s="5">
        <f t="shared" si="0"/>
        <v>1</v>
      </c>
      <c r="C32" s="18">
        <f t="shared" si="1"/>
        <v>0</v>
      </c>
      <c r="D32" s="18">
        <f t="shared" si="2"/>
        <v>1</v>
      </c>
      <c r="E32" s="18">
        <f t="shared" si="3"/>
        <v>2</v>
      </c>
      <c r="F32" s="18">
        <f t="shared" si="4"/>
        <v>1</v>
      </c>
      <c r="G32" s="19">
        <f t="shared" si="5"/>
        <v>45074.988750000004</v>
      </c>
      <c r="H32" s="19">
        <f t="shared" si="6"/>
        <v>60840.000000000015</v>
      </c>
      <c r="I32" s="19">
        <f t="shared" si="7"/>
        <v>15765.01125000001</v>
      </c>
      <c r="J32" s="19">
        <f t="shared" si="12"/>
        <v>-31047.11374999999</v>
      </c>
      <c r="K32" s="18">
        <f t="shared" si="8"/>
        <v>0.82270247479188197</v>
      </c>
      <c r="L32" s="19">
        <f t="shared" si="9"/>
        <v>12969.913770496869</v>
      </c>
      <c r="M32" s="20">
        <f t="shared" si="10"/>
        <v>0.66737624755117475</v>
      </c>
      <c r="N32" s="17">
        <f t="shared" si="11"/>
        <v>999</v>
      </c>
    </row>
    <row r="33" spans="1:14" ht="15" customHeight="1" x14ac:dyDescent="0.35">
      <c r="A33" s="17">
        <v>5</v>
      </c>
      <c r="B33" s="5">
        <f t="shared" si="0"/>
        <v>1</v>
      </c>
      <c r="C33" s="18">
        <f t="shared" si="1"/>
        <v>0</v>
      </c>
      <c r="D33" s="18">
        <f t="shared" si="2"/>
        <v>1</v>
      </c>
      <c r="E33" s="18">
        <f t="shared" si="3"/>
        <v>3</v>
      </c>
      <c r="F33" s="18">
        <f t="shared" si="4"/>
        <v>1</v>
      </c>
      <c r="G33" s="19">
        <f t="shared" si="5"/>
        <v>46427.238412499995</v>
      </c>
      <c r="H33" s="19">
        <f t="shared" si="6"/>
        <v>63273.600000000006</v>
      </c>
      <c r="I33" s="19">
        <f t="shared" si="7"/>
        <v>16846.361587500011</v>
      </c>
      <c r="J33" s="19">
        <f t="shared" si="12"/>
        <v>-14200.752162499979</v>
      </c>
      <c r="K33" s="18">
        <f t="shared" si="8"/>
        <v>0.78352616646845896</v>
      </c>
      <c r="L33" s="19">
        <f t="shared" si="9"/>
        <v>13199.565113595387</v>
      </c>
      <c r="M33" s="20">
        <f t="shared" si="10"/>
        <v>0.66102028328878248</v>
      </c>
      <c r="N33" s="17">
        <f t="shared" si="11"/>
        <v>999</v>
      </c>
    </row>
    <row r="34" spans="1:14" ht="15" customHeight="1" x14ac:dyDescent="0.35">
      <c r="A34" s="17">
        <v>6</v>
      </c>
      <c r="B34" s="5">
        <f t="shared" si="0"/>
        <v>1</v>
      </c>
      <c r="C34" s="18">
        <f t="shared" si="1"/>
        <v>0</v>
      </c>
      <c r="D34" s="18">
        <f t="shared" si="2"/>
        <v>1</v>
      </c>
      <c r="E34" s="18">
        <f t="shared" si="3"/>
        <v>4</v>
      </c>
      <c r="F34" s="18">
        <f t="shared" si="4"/>
        <v>1</v>
      </c>
      <c r="G34" s="19">
        <f t="shared" si="5"/>
        <v>47820.055564874994</v>
      </c>
      <c r="H34" s="19">
        <f t="shared" si="6"/>
        <v>65804.544000000024</v>
      </c>
      <c r="I34" s="19">
        <f t="shared" si="7"/>
        <v>17984.488435125029</v>
      </c>
      <c r="J34" s="19">
        <f t="shared" si="12"/>
        <v>3783.7362726250503</v>
      </c>
      <c r="K34" s="18">
        <f t="shared" si="8"/>
        <v>0.74621539663662761</v>
      </c>
      <c r="L34" s="19">
        <f t="shared" si="9"/>
        <v>13420.302170923665</v>
      </c>
      <c r="M34" s="20">
        <f t="shared" si="10"/>
        <v>0.65472485201936559</v>
      </c>
      <c r="N34" s="17">
        <f t="shared" si="11"/>
        <v>6</v>
      </c>
    </row>
    <row r="35" spans="1:14" ht="15" customHeight="1" x14ac:dyDescent="0.35">
      <c r="A35" s="17">
        <v>7</v>
      </c>
      <c r="B35" s="5">
        <f t="shared" si="0"/>
        <v>1</v>
      </c>
      <c r="C35" s="18">
        <f t="shared" si="1"/>
        <v>0</v>
      </c>
      <c r="D35" s="18">
        <f t="shared" si="2"/>
        <v>1</v>
      </c>
      <c r="E35" s="18">
        <f t="shared" si="3"/>
        <v>5</v>
      </c>
      <c r="F35" s="18">
        <f t="shared" si="4"/>
        <v>1</v>
      </c>
      <c r="G35" s="19">
        <f t="shared" si="5"/>
        <v>49254.657231821242</v>
      </c>
      <c r="H35" s="19">
        <f t="shared" si="6"/>
        <v>68436.72576000003</v>
      </c>
      <c r="I35" s="19">
        <f t="shared" si="7"/>
        <v>19182.068528178788</v>
      </c>
      <c r="J35" s="19">
        <f t="shared" si="12"/>
        <v>22965.804800803839</v>
      </c>
      <c r="K35" s="18">
        <f t="shared" si="8"/>
        <v>0.71068133013012147</v>
      </c>
      <c r="L35" s="19">
        <f t="shared" si="9"/>
        <v>13632.337976253242</v>
      </c>
      <c r="M35" s="20">
        <f t="shared" si="10"/>
        <v>0.64848937723822886</v>
      </c>
      <c r="N35" s="17">
        <f t="shared" si="11"/>
        <v>7</v>
      </c>
    </row>
    <row r="36" spans="1:14" ht="15" customHeight="1" x14ac:dyDescent="0.35">
      <c r="A36" s="17">
        <v>8</v>
      </c>
      <c r="B36" s="5">
        <f t="shared" si="0"/>
        <v>1</v>
      </c>
      <c r="C36" s="18">
        <f t="shared" si="1"/>
        <v>0</v>
      </c>
      <c r="D36" s="18">
        <f t="shared" si="2"/>
        <v>1</v>
      </c>
      <c r="E36" s="18">
        <f t="shared" si="3"/>
        <v>6</v>
      </c>
      <c r="F36" s="18">
        <f t="shared" si="4"/>
        <v>1</v>
      </c>
      <c r="G36" s="19">
        <f t="shared" si="5"/>
        <v>50732.296948775882</v>
      </c>
      <c r="H36" s="19">
        <f t="shared" si="6"/>
        <v>71174.194790400026</v>
      </c>
      <c r="I36" s="19">
        <f t="shared" si="7"/>
        <v>20441.897841624144</v>
      </c>
      <c r="J36" s="19">
        <f t="shared" si="12"/>
        <v>43407.702642427983</v>
      </c>
      <c r="K36" s="18">
        <f t="shared" si="8"/>
        <v>0.67683936202868722</v>
      </c>
      <c r="L36" s="19">
        <f t="shared" si="9"/>
        <v>13835.881093780485</v>
      </c>
      <c r="M36" s="20">
        <f t="shared" si="10"/>
        <v>0.64231328793119824</v>
      </c>
      <c r="N36" s="17">
        <f t="shared" si="11"/>
        <v>8</v>
      </c>
    </row>
    <row r="37" spans="1:14" ht="15" customHeight="1" x14ac:dyDescent="0.35">
      <c r="A37" s="17">
        <v>9</v>
      </c>
      <c r="B37" s="5">
        <f t="shared" si="0"/>
        <v>1</v>
      </c>
      <c r="C37" s="18">
        <f t="shared" si="1"/>
        <v>0</v>
      </c>
      <c r="D37" s="18">
        <f t="shared" si="2"/>
        <v>1</v>
      </c>
      <c r="E37" s="18">
        <f t="shared" si="3"/>
        <v>7</v>
      </c>
      <c r="F37" s="18">
        <f t="shared" si="4"/>
        <v>1</v>
      </c>
      <c r="G37" s="19">
        <f t="shared" si="5"/>
        <v>52254.265857239152</v>
      </c>
      <c r="H37" s="19">
        <f t="shared" si="6"/>
        <v>74021.162582016012</v>
      </c>
      <c r="I37" s="19">
        <f t="shared" si="7"/>
        <v>21766.89672477686</v>
      </c>
      <c r="J37" s="19">
        <f t="shared" si="12"/>
        <v>65174.599367204843</v>
      </c>
      <c r="K37" s="18">
        <f t="shared" si="8"/>
        <v>0.64460891621779726</v>
      </c>
      <c r="L37" s="19">
        <f t="shared" si="9"/>
        <v>14031.135707183132</v>
      </c>
      <c r="M37" s="20">
        <f t="shared" si="10"/>
        <v>0.63619601852232943</v>
      </c>
      <c r="N37" s="17">
        <f t="shared" si="11"/>
        <v>9</v>
      </c>
    </row>
    <row r="38" spans="1:14" ht="15" customHeight="1" x14ac:dyDescent="0.35">
      <c r="A38" s="17">
        <v>10</v>
      </c>
      <c r="B38" s="5">
        <f t="shared" si="0"/>
        <v>1</v>
      </c>
      <c r="C38" s="18">
        <f t="shared" si="1"/>
        <v>0</v>
      </c>
      <c r="D38" s="18">
        <f t="shared" si="2"/>
        <v>1</v>
      </c>
      <c r="E38" s="18">
        <f t="shared" si="3"/>
        <v>8</v>
      </c>
      <c r="F38" s="18">
        <f t="shared" si="4"/>
        <v>1</v>
      </c>
      <c r="G38" s="19">
        <f t="shared" si="5"/>
        <v>53821.893832956339</v>
      </c>
      <c r="H38" s="19">
        <f t="shared" si="6"/>
        <v>76982.009085296668</v>
      </c>
      <c r="I38" s="19">
        <f t="shared" si="7"/>
        <v>23160.115252340329</v>
      </c>
      <c r="J38" s="19">
        <f t="shared" si="12"/>
        <v>88334.714619545179</v>
      </c>
      <c r="K38" s="18">
        <f t="shared" si="8"/>
        <v>0.61391325354075932</v>
      </c>
      <c r="L38" s="19">
        <f t="shared" si="9"/>
        <v>14218.301706943215</v>
      </c>
      <c r="M38" s="20">
        <f t="shared" si="10"/>
        <v>0.63013700882211698</v>
      </c>
      <c r="N38" s="17">
        <f t="shared" si="11"/>
        <v>10</v>
      </c>
    </row>
    <row r="39" spans="1:14" ht="15" customHeight="1" x14ac:dyDescent="0.35">
      <c r="A39" s="17">
        <v>11</v>
      </c>
      <c r="B39" s="5">
        <f t="shared" si="0"/>
        <v>0</v>
      </c>
      <c r="C39" s="18">
        <f t="shared" si="1"/>
        <v>0</v>
      </c>
      <c r="D39" s="18">
        <f t="shared" si="2"/>
        <v>1</v>
      </c>
      <c r="E39" s="18">
        <f t="shared" si="3"/>
        <v>9</v>
      </c>
      <c r="F39" s="18">
        <f t="shared" si="4"/>
        <v>1</v>
      </c>
      <c r="G39" s="19">
        <f t="shared" si="5"/>
        <v>55436.550647945027</v>
      </c>
      <c r="H39" s="19">
        <f t="shared" si="6"/>
        <v>80061.289448708543</v>
      </c>
      <c r="I39" s="19">
        <f t="shared" si="7"/>
        <v>24624.738800763516</v>
      </c>
      <c r="J39" s="19">
        <f t="shared" si="12"/>
        <v>112959.4534203087</v>
      </c>
      <c r="K39" s="18">
        <f t="shared" si="8"/>
        <v>0.5846792890864374</v>
      </c>
      <c r="L39" s="19">
        <f t="shared" si="9"/>
        <v>0</v>
      </c>
      <c r="M39" s="20">
        <f t="shared" si="10"/>
        <v>0</v>
      </c>
      <c r="N39" s="17">
        <f t="shared" si="11"/>
        <v>999</v>
      </c>
    </row>
    <row r="40" spans="1:14" ht="15" customHeight="1" x14ac:dyDescent="0.35">
      <c r="A40" s="17">
        <v>12</v>
      </c>
      <c r="B40" s="5">
        <f t="shared" si="0"/>
        <v>0</v>
      </c>
      <c r="C40" s="18">
        <f t="shared" si="1"/>
        <v>0</v>
      </c>
      <c r="D40" s="18">
        <f t="shared" si="2"/>
        <v>1</v>
      </c>
      <c r="E40" s="18">
        <f t="shared" si="3"/>
        <v>10</v>
      </c>
      <c r="F40" s="18">
        <f t="shared" si="4"/>
        <v>0</v>
      </c>
      <c r="G40" s="19">
        <f t="shared" si="5"/>
        <v>57099.647167383373</v>
      </c>
      <c r="H40" s="19">
        <f t="shared" si="6"/>
        <v>83263.741026656877</v>
      </c>
      <c r="I40" s="19">
        <f t="shared" si="7"/>
        <v>26164.093859273504</v>
      </c>
      <c r="J40" s="19">
        <f t="shared" si="12"/>
        <v>139123.54727958218</v>
      </c>
      <c r="K40" s="18">
        <f t="shared" si="8"/>
        <v>0.5568374181775595</v>
      </c>
      <c r="L40" s="19">
        <f t="shared" si="9"/>
        <v>0</v>
      </c>
      <c r="M40" s="20">
        <f t="shared" si="10"/>
        <v>0</v>
      </c>
      <c r="N40" s="17">
        <f t="shared" si="11"/>
        <v>999</v>
      </c>
    </row>
    <row r="41" spans="1:14" ht="15" customHeight="1" x14ac:dyDescent="0.35">
      <c r="A41" s="17">
        <v>13</v>
      </c>
      <c r="B41" s="5">
        <f t="shared" si="0"/>
        <v>0</v>
      </c>
      <c r="C41" s="18">
        <f t="shared" si="1"/>
        <v>0</v>
      </c>
      <c r="D41" s="18">
        <f t="shared" si="2"/>
        <v>1</v>
      </c>
      <c r="E41" s="18">
        <f t="shared" si="3"/>
        <v>11</v>
      </c>
      <c r="F41" s="18">
        <f t="shared" si="4"/>
        <v>0</v>
      </c>
      <c r="G41" s="19">
        <f t="shared" si="5"/>
        <v>58812.63658240487</v>
      </c>
      <c r="H41" s="19">
        <f t="shared" si="6"/>
        <v>86594.290667723151</v>
      </c>
      <c r="I41" s="19">
        <f t="shared" si="7"/>
        <v>27781.654085318281</v>
      </c>
      <c r="J41" s="19">
        <f t="shared" si="12"/>
        <v>166905.20136490045</v>
      </c>
      <c r="K41" s="18">
        <f t="shared" si="8"/>
        <v>0.53032135064529462</v>
      </c>
      <c r="L41" s="19">
        <f t="shared" si="9"/>
        <v>0</v>
      </c>
      <c r="M41" s="20">
        <f t="shared" si="10"/>
        <v>0</v>
      </c>
      <c r="N41" s="17">
        <f t="shared" si="11"/>
        <v>999</v>
      </c>
    </row>
    <row r="42" spans="1:14" ht="15" customHeight="1" x14ac:dyDescent="0.35">
      <c r="A42" s="17">
        <v>14</v>
      </c>
      <c r="B42" s="5">
        <f t="shared" si="0"/>
        <v>0</v>
      </c>
      <c r="C42" s="18">
        <f t="shared" si="1"/>
        <v>0</v>
      </c>
      <c r="D42" s="18">
        <f t="shared" si="2"/>
        <v>1</v>
      </c>
      <c r="E42" s="18">
        <f t="shared" si="3"/>
        <v>12</v>
      </c>
      <c r="F42" s="18">
        <f t="shared" si="4"/>
        <v>0</v>
      </c>
      <c r="G42" s="19">
        <f t="shared" si="5"/>
        <v>60577.015679877011</v>
      </c>
      <c r="H42" s="19">
        <f t="shared" si="6"/>
        <v>90058.062294432093</v>
      </c>
      <c r="I42" s="19">
        <f t="shared" si="7"/>
        <v>29481.046614555082</v>
      </c>
      <c r="J42" s="19">
        <f t="shared" si="12"/>
        <v>196386.24797945554</v>
      </c>
      <c r="K42" s="18">
        <f t="shared" si="8"/>
        <v>0.50506795299551888</v>
      </c>
      <c r="L42" s="19">
        <f t="shared" si="9"/>
        <v>0</v>
      </c>
      <c r="M42" s="20">
        <f t="shared" si="10"/>
        <v>0</v>
      </c>
      <c r="N42" s="17">
        <f t="shared" si="11"/>
        <v>999</v>
      </c>
    </row>
    <row r="43" spans="1:14" ht="15" customHeight="1" x14ac:dyDescent="0.35">
      <c r="A43" s="17">
        <v>15</v>
      </c>
      <c r="B43" s="5">
        <f t="shared" si="0"/>
        <v>0</v>
      </c>
      <c r="C43" s="18">
        <f t="shared" si="1"/>
        <v>0</v>
      </c>
      <c r="D43" s="18">
        <f t="shared" si="2"/>
        <v>1</v>
      </c>
      <c r="E43" s="18">
        <f t="shared" si="3"/>
        <v>13</v>
      </c>
      <c r="F43" s="18">
        <f t="shared" si="4"/>
        <v>0</v>
      </c>
      <c r="G43" s="19">
        <f t="shared" si="5"/>
        <v>62394.326150273322</v>
      </c>
      <c r="H43" s="19">
        <f t="shared" si="6"/>
        <v>93660.384786209383</v>
      </c>
      <c r="I43" s="19">
        <f t="shared" si="7"/>
        <v>31266.05863593606</v>
      </c>
      <c r="J43" s="19">
        <f t="shared" si="12"/>
        <v>227652.3066153916</v>
      </c>
      <c r="K43" s="18">
        <f t="shared" si="8"/>
        <v>0.48101709809097021</v>
      </c>
      <c r="L43" s="19">
        <f t="shared" si="9"/>
        <v>0</v>
      </c>
      <c r="M43" s="20">
        <f t="shared" si="10"/>
        <v>0</v>
      </c>
      <c r="N43" s="17">
        <f t="shared" si="11"/>
        <v>999</v>
      </c>
    </row>
    <row r="44" spans="1:14" ht="15" customHeight="1" x14ac:dyDescent="0.35">
      <c r="A44" s="17">
        <v>16</v>
      </c>
      <c r="B44" s="5">
        <f t="shared" si="0"/>
        <v>0</v>
      </c>
      <c r="C44" s="18">
        <f t="shared" si="1"/>
        <v>0</v>
      </c>
      <c r="D44" s="18">
        <f t="shared" si="2"/>
        <v>1</v>
      </c>
      <c r="E44" s="18">
        <f t="shared" si="3"/>
        <v>14</v>
      </c>
      <c r="F44" s="18">
        <f t="shared" si="4"/>
        <v>0</v>
      </c>
      <c r="G44" s="19">
        <f t="shared" si="5"/>
        <v>64266.155934781535</v>
      </c>
      <c r="H44" s="19">
        <f t="shared" si="6"/>
        <v>97406.800177657758</v>
      </c>
      <c r="I44" s="19">
        <f t="shared" si="7"/>
        <v>33140.644242876224</v>
      </c>
      <c r="J44" s="19">
        <f t="shared" si="12"/>
        <v>260792.95085826784</v>
      </c>
      <c r="K44" s="18">
        <f t="shared" si="8"/>
        <v>0.45811152199140021</v>
      </c>
      <c r="L44" s="19">
        <f t="shared" si="9"/>
        <v>0</v>
      </c>
      <c r="M44" s="20">
        <f t="shared" si="10"/>
        <v>0</v>
      </c>
      <c r="N44" s="17">
        <f t="shared" si="11"/>
        <v>999</v>
      </c>
    </row>
    <row r="45" spans="1:14" ht="15" customHeight="1" x14ac:dyDescent="0.35">
      <c r="A45" s="17">
        <v>17</v>
      </c>
      <c r="B45" s="5">
        <f t="shared" si="0"/>
        <v>0</v>
      </c>
      <c r="C45" s="18">
        <f t="shared" si="1"/>
        <v>0</v>
      </c>
      <c r="D45" s="18">
        <f t="shared" si="2"/>
        <v>1</v>
      </c>
      <c r="E45" s="18">
        <f t="shared" si="3"/>
        <v>15</v>
      </c>
      <c r="F45" s="18">
        <f t="shared" si="4"/>
        <v>0</v>
      </c>
      <c r="G45" s="19">
        <f t="shared" si="5"/>
        <v>66194.140612824966</v>
      </c>
      <c r="H45" s="19">
        <f t="shared" si="6"/>
        <v>101303.07218476407</v>
      </c>
      <c r="I45" s="19">
        <f t="shared" si="7"/>
        <v>35108.931571939102</v>
      </c>
      <c r="J45" s="19">
        <f t="shared" si="12"/>
        <v>295901.88243020693</v>
      </c>
      <c r="K45" s="18">
        <f t="shared" si="8"/>
        <v>0.43629668761085727</v>
      </c>
      <c r="L45" s="19">
        <f t="shared" si="9"/>
        <v>0</v>
      </c>
      <c r="M45" s="20">
        <f t="shared" si="10"/>
        <v>0</v>
      </c>
      <c r="N45" s="17">
        <f t="shared" si="11"/>
        <v>999</v>
      </c>
    </row>
    <row r="46" spans="1:14" ht="15" customHeight="1" x14ac:dyDescent="0.35">
      <c r="A46" s="17">
        <v>18</v>
      </c>
      <c r="B46" s="5">
        <f t="shared" si="0"/>
        <v>0</v>
      </c>
      <c r="C46" s="18">
        <f t="shared" si="1"/>
        <v>0</v>
      </c>
      <c r="D46" s="18">
        <f t="shared" si="2"/>
        <v>1</v>
      </c>
      <c r="E46" s="18">
        <f t="shared" si="3"/>
        <v>16</v>
      </c>
      <c r="F46" s="18">
        <f t="shared" si="4"/>
        <v>0</v>
      </c>
      <c r="G46" s="19">
        <f t="shared" si="5"/>
        <v>68179.964831209712</v>
      </c>
      <c r="H46" s="19">
        <f t="shared" si="6"/>
        <v>105355.19507215465</v>
      </c>
      <c r="I46" s="19">
        <f t="shared" si="7"/>
        <v>37175.230240944933</v>
      </c>
      <c r="J46" s="19">
        <f t="shared" si="12"/>
        <v>333077.11267115187</v>
      </c>
      <c r="K46" s="18">
        <f t="shared" si="8"/>
        <v>0.41552065486748313</v>
      </c>
      <c r="L46" s="19">
        <f t="shared" si="9"/>
        <v>0</v>
      </c>
      <c r="M46" s="20">
        <f t="shared" si="10"/>
        <v>0</v>
      </c>
      <c r="N46" s="17">
        <f t="shared" si="11"/>
        <v>999</v>
      </c>
    </row>
    <row r="47" spans="1:14" ht="15" customHeight="1" x14ac:dyDescent="0.35">
      <c r="A47" s="17">
        <v>19</v>
      </c>
      <c r="B47" s="5">
        <f t="shared" si="0"/>
        <v>0</v>
      </c>
      <c r="C47" s="18">
        <f t="shared" si="1"/>
        <v>0</v>
      </c>
      <c r="D47" s="18">
        <f t="shared" si="2"/>
        <v>1</v>
      </c>
      <c r="E47" s="18">
        <f t="shared" si="3"/>
        <v>17</v>
      </c>
      <c r="F47" s="18">
        <f t="shared" si="4"/>
        <v>0</v>
      </c>
      <c r="G47" s="19">
        <f t="shared" si="5"/>
        <v>70225.363776146012</v>
      </c>
      <c r="H47" s="19">
        <f t="shared" si="6"/>
        <v>109569.40287504085</v>
      </c>
      <c r="I47" s="19">
        <f t="shared" si="7"/>
        <v>39344.039098894835</v>
      </c>
      <c r="J47" s="19">
        <f t="shared" si="12"/>
        <v>372421.15177004668</v>
      </c>
      <c r="K47" s="18">
        <f t="shared" si="8"/>
        <v>0.39573395701665059</v>
      </c>
      <c r="L47" s="19">
        <f t="shared" si="9"/>
        <v>0</v>
      </c>
      <c r="M47" s="20">
        <f t="shared" si="10"/>
        <v>0</v>
      </c>
      <c r="N47" s="17">
        <f t="shared" si="11"/>
        <v>999</v>
      </c>
    </row>
    <row r="48" spans="1:14" ht="15" customHeight="1" x14ac:dyDescent="0.35">
      <c r="A48" s="17">
        <v>20</v>
      </c>
      <c r="B48" s="5">
        <f t="shared" si="0"/>
        <v>0</v>
      </c>
      <c r="C48" s="18">
        <f t="shared" si="1"/>
        <v>0</v>
      </c>
      <c r="D48" s="18">
        <f t="shared" si="2"/>
        <v>1</v>
      </c>
      <c r="E48" s="18">
        <f t="shared" si="3"/>
        <v>18</v>
      </c>
      <c r="F48" s="18">
        <f t="shared" si="4"/>
        <v>0</v>
      </c>
      <c r="G48" s="19">
        <f t="shared" si="5"/>
        <v>72332.124689430391</v>
      </c>
      <c r="H48" s="19">
        <f t="shared" si="6"/>
        <v>113952.17899004248</v>
      </c>
      <c r="I48" s="19">
        <f t="shared" si="7"/>
        <v>41620.054300612086</v>
      </c>
      <c r="J48" s="19">
        <f t="shared" si="12"/>
        <v>414041.20607065875</v>
      </c>
      <c r="K48" s="18">
        <f t="shared" si="8"/>
        <v>0.37688948287300061</v>
      </c>
      <c r="L48" s="19">
        <f t="shared" si="9"/>
        <v>0</v>
      </c>
      <c r="M48" s="20">
        <f t="shared" si="10"/>
        <v>0</v>
      </c>
      <c r="N48" s="17">
        <f t="shared" si="11"/>
        <v>999</v>
      </c>
    </row>
    <row r="50" spans="1:3" ht="15" customHeight="1" x14ac:dyDescent="0.35">
      <c r="A50" s="3" t="s">
        <v>179</v>
      </c>
    </row>
    <row r="51" spans="1:3" ht="15" customHeight="1" x14ac:dyDescent="0.35">
      <c r="A51" t="s">
        <v>180</v>
      </c>
      <c r="C51" s="21">
        <f>IF(MIN(N29:N48)=999,"Not within horizon",MIN(N29:N48))</f>
        <v>6</v>
      </c>
    </row>
    <row r="52" spans="1:3" ht="15" customHeight="1" x14ac:dyDescent="0.35">
      <c r="A52" t="s">
        <v>181</v>
      </c>
      <c r="C52" s="22">
        <f>SUM(L29:L48)</f>
        <v>49433.125909762333</v>
      </c>
    </row>
    <row r="53" spans="1:3" ht="15" customHeight="1" x14ac:dyDescent="0.35">
      <c r="A53" t="s">
        <v>182</v>
      </c>
      <c r="C53" s="23">
        <f>SUM(M29:M48)</f>
        <v>5.7242544838603999</v>
      </c>
    </row>
    <row r="54" spans="1:3" ht="15" customHeight="1" x14ac:dyDescent="0.35">
      <c r="A54" t="s">
        <v>183</v>
      </c>
      <c r="C54" s="22">
        <f>IF(C53=0,"n/a",($C$16*C53-C52)/C53)</f>
        <v>66364.268299192569</v>
      </c>
    </row>
    <row r="55" spans="1:3" ht="15" customHeight="1" x14ac:dyDescent="0.35">
      <c r="A55" t="s">
        <v>184</v>
      </c>
      <c r="C55" s="22">
        <f>IF(C53=0,"n/a",C52+(C54-$C$16)*C53)</f>
        <v>-7.2759576141834259E-12</v>
      </c>
    </row>
    <row r="56" spans="1:3" ht="15" customHeight="1" x14ac:dyDescent="0.35">
      <c r="A56" t="s">
        <v>185</v>
      </c>
      <c r="C56" s="22">
        <f>INDEX(J29:J48,$C$9)</f>
        <v>88334.714619545179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zoomScaleNormal="100" workbookViewId="0">
      <pane ySplit="28" topLeftCell="A29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14" width="15" customWidth="1"/>
  </cols>
  <sheetData>
    <row r="1" spans="1:3" ht="16.149999999999999" customHeight="1" x14ac:dyDescent="0.35">
      <c r="A1" s="1" t="s">
        <v>33</v>
      </c>
    </row>
    <row r="2" spans="1:3" ht="15" customHeight="1" x14ac:dyDescent="0.35">
      <c r="A2" s="8" t="s">
        <v>189</v>
      </c>
    </row>
    <row r="4" spans="1:3" ht="15" customHeight="1" x14ac:dyDescent="0.35">
      <c r="A4" s="3" t="s">
        <v>131</v>
      </c>
      <c r="B4" s="3" t="s">
        <v>132</v>
      </c>
    </row>
    <row r="5" spans="1:3" ht="15" customHeight="1" x14ac:dyDescent="0.35">
      <c r="A5" s="2" t="s">
        <v>133</v>
      </c>
      <c r="B5" s="2" t="s">
        <v>92</v>
      </c>
      <c r="C5" s="9">
        <v>90000</v>
      </c>
    </row>
    <row r="6" spans="1:3" ht="15" customHeight="1" x14ac:dyDescent="0.35">
      <c r="A6" s="2" t="s">
        <v>134</v>
      </c>
      <c r="B6" s="2" t="s">
        <v>95</v>
      </c>
      <c r="C6" s="10">
        <v>0.03</v>
      </c>
    </row>
    <row r="7" spans="1:3" ht="15" customHeight="1" x14ac:dyDescent="0.35">
      <c r="A7" s="2" t="s">
        <v>135</v>
      </c>
      <c r="B7" s="2" t="s">
        <v>119</v>
      </c>
      <c r="C7" s="10">
        <v>0.25</v>
      </c>
    </row>
    <row r="8" spans="1:3" ht="15" customHeight="1" x14ac:dyDescent="0.35">
      <c r="A8" s="2" t="s">
        <v>136</v>
      </c>
      <c r="B8" s="2" t="s">
        <v>137</v>
      </c>
      <c r="C8" s="10">
        <v>0.05</v>
      </c>
    </row>
    <row r="9" spans="1:3" ht="15" customHeight="1" x14ac:dyDescent="0.35">
      <c r="A9" s="2" t="s">
        <v>138</v>
      </c>
      <c r="B9" s="2" t="s">
        <v>139</v>
      </c>
      <c r="C9" s="11">
        <v>10</v>
      </c>
    </row>
    <row r="10" spans="1:3" ht="15" customHeight="1" x14ac:dyDescent="0.35">
      <c r="A10" s="2" t="s">
        <v>140</v>
      </c>
      <c r="B10" s="2" t="s">
        <v>141</v>
      </c>
      <c r="C10" s="12">
        <v>2</v>
      </c>
    </row>
    <row r="11" spans="1:3" ht="15" customHeight="1" x14ac:dyDescent="0.35">
      <c r="A11" s="2" t="s">
        <v>142</v>
      </c>
      <c r="B11" s="2" t="s">
        <v>121</v>
      </c>
      <c r="C11" s="9">
        <v>90000</v>
      </c>
    </row>
    <row r="12" spans="1:3" ht="15" customHeight="1" x14ac:dyDescent="0.35">
      <c r="A12" s="2" t="s">
        <v>143</v>
      </c>
      <c r="B12" s="2" t="s">
        <v>58</v>
      </c>
      <c r="C12" s="9">
        <v>0</v>
      </c>
    </row>
    <row r="13" spans="1:3" ht="15" customHeight="1" x14ac:dyDescent="0.35">
      <c r="A13" s="2" t="s">
        <v>144</v>
      </c>
      <c r="B13" s="2" t="s">
        <v>122</v>
      </c>
      <c r="C13" s="9">
        <v>0</v>
      </c>
    </row>
    <row r="14" spans="1:3" ht="15" customHeight="1" x14ac:dyDescent="0.35">
      <c r="A14" s="2" t="s">
        <v>145</v>
      </c>
      <c r="B14" s="2" t="s">
        <v>49</v>
      </c>
      <c r="C14" s="9">
        <v>0</v>
      </c>
    </row>
    <row r="15" spans="1:3" ht="15" customHeight="1" x14ac:dyDescent="0.35">
      <c r="A15" s="2" t="s">
        <v>146</v>
      </c>
      <c r="B15" s="2" t="s">
        <v>147</v>
      </c>
      <c r="C15" s="11">
        <v>3</v>
      </c>
    </row>
    <row r="16" spans="1:3" ht="15" customHeight="1" x14ac:dyDescent="0.35">
      <c r="A16" s="2" t="s">
        <v>148</v>
      </c>
      <c r="B16" s="2" t="s">
        <v>149</v>
      </c>
      <c r="C16" s="9">
        <v>92000</v>
      </c>
    </row>
    <row r="17" spans="1:14" ht="15" customHeight="1" x14ac:dyDescent="0.35">
      <c r="A17" s="2" t="s">
        <v>150</v>
      </c>
      <c r="B17" s="2" t="s">
        <v>151</v>
      </c>
      <c r="C17" s="10">
        <v>0.04</v>
      </c>
    </row>
    <row r="18" spans="1:14" ht="15" customHeight="1" x14ac:dyDescent="0.35">
      <c r="A18" s="2" t="s">
        <v>152</v>
      </c>
      <c r="B18" s="2" t="s">
        <v>59</v>
      </c>
      <c r="C18" s="9">
        <v>90000</v>
      </c>
    </row>
    <row r="19" spans="1:14" ht="15" customHeight="1" x14ac:dyDescent="0.35">
      <c r="A19" s="2" t="s">
        <v>153</v>
      </c>
      <c r="B19" s="2" t="s">
        <v>154</v>
      </c>
      <c r="C19" s="10">
        <v>0.08</v>
      </c>
    </row>
    <row r="20" spans="1:14" ht="15" customHeight="1" x14ac:dyDescent="0.35">
      <c r="A20" s="2" t="s">
        <v>155</v>
      </c>
      <c r="B20" s="2" t="s">
        <v>156</v>
      </c>
      <c r="C20" s="11">
        <v>10</v>
      </c>
    </row>
    <row r="22" spans="1:14" ht="15" customHeight="1" x14ac:dyDescent="0.35">
      <c r="A22" s="3" t="s">
        <v>157</v>
      </c>
    </row>
    <row r="23" spans="1:14" ht="15" customHeight="1" x14ac:dyDescent="0.35">
      <c r="A23" t="s">
        <v>158</v>
      </c>
      <c r="B23" t="s">
        <v>159</v>
      </c>
      <c r="C23" s="13">
        <f>IF($C$18=0,0,$C$18*$C$19/(1-(1+$C$19)^(-$C$20)))</f>
        <v>13412.653982736781</v>
      </c>
    </row>
    <row r="24" spans="1:14" ht="15" customHeight="1" x14ac:dyDescent="0.35">
      <c r="A24" t="s">
        <v>160</v>
      </c>
      <c r="B24" t="s">
        <v>161</v>
      </c>
      <c r="C24" s="14">
        <f>$C$10+$C$15/12</f>
        <v>2.25</v>
      </c>
    </row>
    <row r="25" spans="1:14" ht="15" customHeight="1" x14ac:dyDescent="0.35">
      <c r="A25" t="s">
        <v>162</v>
      </c>
      <c r="B25" t="s">
        <v>163</v>
      </c>
      <c r="C25" s="15">
        <f>INT($C$24)+1</f>
        <v>3</v>
      </c>
    </row>
    <row r="26" spans="1:14" ht="15" customHeight="1" x14ac:dyDescent="0.35">
      <c r="A26" t="s">
        <v>164</v>
      </c>
      <c r="B26" t="s">
        <v>65</v>
      </c>
      <c r="C26" s="13">
        <f>($C$11-$C$12-$C$18)/$C$10+$C$14-$C$13*(1-$C$7)</f>
        <v>0</v>
      </c>
    </row>
    <row r="28" spans="1:14" ht="42" customHeight="1" x14ac:dyDescent="0.35">
      <c r="A28" s="16" t="s">
        <v>165</v>
      </c>
      <c r="B28" s="16" t="s">
        <v>166</v>
      </c>
      <c r="C28" s="16" t="s">
        <v>167</v>
      </c>
      <c r="D28" s="16" t="s">
        <v>168</v>
      </c>
      <c r="E28" s="16" t="s">
        <v>169</v>
      </c>
      <c r="F28" s="16" t="s">
        <v>170</v>
      </c>
      <c r="G28" s="16" t="s">
        <v>171</v>
      </c>
      <c r="H28" s="16" t="s">
        <v>172</v>
      </c>
      <c r="I28" s="16" t="s">
        <v>173</v>
      </c>
      <c r="J28" s="16" t="s">
        <v>174</v>
      </c>
      <c r="K28" s="16" t="s">
        <v>175</v>
      </c>
      <c r="L28" s="16" t="s">
        <v>176</v>
      </c>
      <c r="M28" s="16" t="s">
        <v>177</v>
      </c>
      <c r="N28" s="16" t="s">
        <v>178</v>
      </c>
    </row>
    <row r="29" spans="1:14" ht="15" customHeight="1" x14ac:dyDescent="0.35">
      <c r="A29" s="17">
        <v>1</v>
      </c>
      <c r="B29" s="5">
        <f t="shared" ref="B29:B48" si="0">IF(A29&lt;=$C$9,1,0)</f>
        <v>1</v>
      </c>
      <c r="C29" s="18">
        <f t="shared" ref="C29:C48" si="1">MAX(0,MIN(1,$C$10-(A29-1)))</f>
        <v>1</v>
      </c>
      <c r="D29" s="18">
        <f t="shared" ref="D29:D48" si="2">MAX(0,MIN(1,A29-$C$24))</f>
        <v>0</v>
      </c>
      <c r="E29" s="18">
        <f t="shared" ref="E29:E48" si="3">MAX(0,A29-$C$25)</f>
        <v>0</v>
      </c>
      <c r="F29" s="18">
        <f t="shared" ref="F29:F48" si="4">MAX(0,MIN(A29,$C$10+$C$20)-MAX(A29-1,$C$10))</f>
        <v>0</v>
      </c>
      <c r="G29" s="19">
        <f t="shared" ref="G29:G48" si="5">$C$5*(1+$C$6)^(A29-1)*(1-$C$7)</f>
        <v>67500</v>
      </c>
      <c r="H29" s="19">
        <f t="shared" ref="H29:H48" si="6">-$C$26*C29+$C$16*(1+$C$17)^E29*(1-$C$7)*D29-$C$23*F29</f>
        <v>0</v>
      </c>
      <c r="I29" s="19">
        <f t="shared" ref="I29:I48" si="7">H29-G29</f>
        <v>-67500</v>
      </c>
      <c r="J29" s="19">
        <f>I29</f>
        <v>-67500</v>
      </c>
      <c r="K29" s="18">
        <f t="shared" ref="K29:K48" si="8">1/(1+$C$8)^A29</f>
        <v>0.95238095238095233</v>
      </c>
      <c r="L29" s="19">
        <f t="shared" ref="L29:L48" si="9">I29*K29*B29</f>
        <v>-64285.714285714283</v>
      </c>
      <c r="M29" s="20">
        <f t="shared" ref="M29:M48" si="10">(1+$C$17)^E29*(1-$C$7)*D29*K29*B29</f>
        <v>0</v>
      </c>
      <c r="N29" s="17">
        <f t="shared" ref="N29:N48" si="11">IF(AND(B29=1,COUNTIFS($A$29:$A$48,"&gt;="&amp;A29,$B$29:$B$48,1,$J$29:$J$48,"&lt;0")=0),A29,999)</f>
        <v>999</v>
      </c>
    </row>
    <row r="30" spans="1:14" ht="15" customHeight="1" x14ac:dyDescent="0.35">
      <c r="A30" s="17">
        <v>2</v>
      </c>
      <c r="B30" s="5">
        <f t="shared" si="0"/>
        <v>1</v>
      </c>
      <c r="C30" s="18">
        <f t="shared" si="1"/>
        <v>1</v>
      </c>
      <c r="D30" s="18">
        <f t="shared" si="2"/>
        <v>0</v>
      </c>
      <c r="E30" s="18">
        <f t="shared" si="3"/>
        <v>0</v>
      </c>
      <c r="F30" s="18">
        <f t="shared" si="4"/>
        <v>0</v>
      </c>
      <c r="G30" s="19">
        <f t="shared" si="5"/>
        <v>69525</v>
      </c>
      <c r="H30" s="19">
        <f t="shared" si="6"/>
        <v>0</v>
      </c>
      <c r="I30" s="19">
        <f t="shared" si="7"/>
        <v>-69525</v>
      </c>
      <c r="J30" s="19">
        <f t="shared" ref="J30:J48" si="12">J29+I30</f>
        <v>-137025</v>
      </c>
      <c r="K30" s="18">
        <f t="shared" si="8"/>
        <v>0.90702947845804982</v>
      </c>
      <c r="L30" s="19">
        <f t="shared" si="9"/>
        <v>-63061.224489795917</v>
      </c>
      <c r="M30" s="20">
        <f t="shared" si="10"/>
        <v>0</v>
      </c>
      <c r="N30" s="17">
        <f t="shared" si="11"/>
        <v>999</v>
      </c>
    </row>
    <row r="31" spans="1:14" ht="15" customHeight="1" x14ac:dyDescent="0.35">
      <c r="A31" s="17">
        <v>3</v>
      </c>
      <c r="B31" s="5">
        <f t="shared" si="0"/>
        <v>1</v>
      </c>
      <c r="C31" s="18">
        <f t="shared" si="1"/>
        <v>0</v>
      </c>
      <c r="D31" s="18">
        <f t="shared" si="2"/>
        <v>0.75</v>
      </c>
      <c r="E31" s="18">
        <f t="shared" si="3"/>
        <v>0</v>
      </c>
      <c r="F31" s="18">
        <f t="shared" si="4"/>
        <v>1</v>
      </c>
      <c r="G31" s="19">
        <f t="shared" si="5"/>
        <v>71610.75</v>
      </c>
      <c r="H31" s="19">
        <f t="shared" si="6"/>
        <v>38337.346017263219</v>
      </c>
      <c r="I31" s="19">
        <f t="shared" si="7"/>
        <v>-33273.403982736781</v>
      </c>
      <c r="J31" s="19">
        <f t="shared" si="12"/>
        <v>-170298.40398273678</v>
      </c>
      <c r="K31" s="18">
        <f t="shared" si="8"/>
        <v>0.86383759853147601</v>
      </c>
      <c r="L31" s="19">
        <f t="shared" si="9"/>
        <v>-28742.817391414992</v>
      </c>
      <c r="M31" s="20">
        <f t="shared" si="10"/>
        <v>0.48590864917395526</v>
      </c>
      <c r="N31" s="17">
        <f t="shared" si="11"/>
        <v>999</v>
      </c>
    </row>
    <row r="32" spans="1:14" ht="15" customHeight="1" x14ac:dyDescent="0.35">
      <c r="A32" s="17">
        <v>4</v>
      </c>
      <c r="B32" s="5">
        <f t="shared" si="0"/>
        <v>1</v>
      </c>
      <c r="C32" s="18">
        <f t="shared" si="1"/>
        <v>0</v>
      </c>
      <c r="D32" s="18">
        <f t="shared" si="2"/>
        <v>1</v>
      </c>
      <c r="E32" s="18">
        <f t="shared" si="3"/>
        <v>1</v>
      </c>
      <c r="F32" s="18">
        <f t="shared" si="4"/>
        <v>1</v>
      </c>
      <c r="G32" s="19">
        <f t="shared" si="5"/>
        <v>73759.072500000009</v>
      </c>
      <c r="H32" s="19">
        <f t="shared" si="6"/>
        <v>58347.346017263219</v>
      </c>
      <c r="I32" s="19">
        <f t="shared" si="7"/>
        <v>-15411.726482736791</v>
      </c>
      <c r="J32" s="19">
        <f t="shared" si="12"/>
        <v>-185710.13046547357</v>
      </c>
      <c r="K32" s="18">
        <f t="shared" si="8"/>
        <v>0.82270247479188197</v>
      </c>
      <c r="L32" s="19">
        <f t="shared" si="9"/>
        <v>-12679.265518163143</v>
      </c>
      <c r="M32" s="20">
        <f t="shared" si="10"/>
        <v>0.64170793033766793</v>
      </c>
      <c r="N32" s="17">
        <f t="shared" si="11"/>
        <v>999</v>
      </c>
    </row>
    <row r="33" spans="1:14" ht="15" customHeight="1" x14ac:dyDescent="0.35">
      <c r="A33" s="17">
        <v>5</v>
      </c>
      <c r="B33" s="5">
        <f t="shared" si="0"/>
        <v>1</v>
      </c>
      <c r="C33" s="18">
        <f t="shared" si="1"/>
        <v>0</v>
      </c>
      <c r="D33" s="18">
        <f t="shared" si="2"/>
        <v>1</v>
      </c>
      <c r="E33" s="18">
        <f t="shared" si="3"/>
        <v>2</v>
      </c>
      <c r="F33" s="18">
        <f t="shared" si="4"/>
        <v>1</v>
      </c>
      <c r="G33" s="19">
        <f t="shared" si="5"/>
        <v>75971.844674999986</v>
      </c>
      <c r="H33" s="19">
        <f t="shared" si="6"/>
        <v>61217.746017263227</v>
      </c>
      <c r="I33" s="19">
        <f t="shared" si="7"/>
        <v>-14754.098657736758</v>
      </c>
      <c r="J33" s="19">
        <f t="shared" si="12"/>
        <v>-200464.22912321033</v>
      </c>
      <c r="K33" s="18">
        <f t="shared" si="8"/>
        <v>0.78352616646845896</v>
      </c>
      <c r="L33" s="19">
        <f t="shared" si="9"/>
        <v>-11560.222360993919</v>
      </c>
      <c r="M33" s="20">
        <f t="shared" si="10"/>
        <v>0.63559642623921397</v>
      </c>
      <c r="N33" s="17">
        <f t="shared" si="11"/>
        <v>999</v>
      </c>
    </row>
    <row r="34" spans="1:14" ht="15" customHeight="1" x14ac:dyDescent="0.35">
      <c r="A34" s="17">
        <v>6</v>
      </c>
      <c r="B34" s="5">
        <f t="shared" si="0"/>
        <v>1</v>
      </c>
      <c r="C34" s="18">
        <f t="shared" si="1"/>
        <v>0</v>
      </c>
      <c r="D34" s="18">
        <f t="shared" si="2"/>
        <v>1</v>
      </c>
      <c r="E34" s="18">
        <f t="shared" si="3"/>
        <v>3</v>
      </c>
      <c r="F34" s="18">
        <f t="shared" si="4"/>
        <v>1</v>
      </c>
      <c r="G34" s="19">
        <f t="shared" si="5"/>
        <v>78251.00001525</v>
      </c>
      <c r="H34" s="19">
        <f t="shared" si="6"/>
        <v>64202.962017263228</v>
      </c>
      <c r="I34" s="19">
        <f t="shared" si="7"/>
        <v>-14048.037997986772</v>
      </c>
      <c r="J34" s="19">
        <f t="shared" si="12"/>
        <v>-214512.2671211971</v>
      </c>
      <c r="K34" s="18">
        <f t="shared" si="8"/>
        <v>0.74621539663662761</v>
      </c>
      <c r="L34" s="19">
        <f t="shared" si="9"/>
        <v>-10482.862246634115</v>
      </c>
      <c r="M34" s="20">
        <f t="shared" si="10"/>
        <v>0.62954312694169767</v>
      </c>
      <c r="N34" s="17">
        <f t="shared" si="11"/>
        <v>999</v>
      </c>
    </row>
    <row r="35" spans="1:14" ht="15" customHeight="1" x14ac:dyDescent="0.35">
      <c r="A35" s="17">
        <v>7</v>
      </c>
      <c r="B35" s="5">
        <f t="shared" si="0"/>
        <v>1</v>
      </c>
      <c r="C35" s="18">
        <f t="shared" si="1"/>
        <v>0</v>
      </c>
      <c r="D35" s="18">
        <f t="shared" si="2"/>
        <v>1</v>
      </c>
      <c r="E35" s="18">
        <f t="shared" si="3"/>
        <v>4</v>
      </c>
      <c r="F35" s="18">
        <f t="shared" si="4"/>
        <v>1</v>
      </c>
      <c r="G35" s="19">
        <f t="shared" si="5"/>
        <v>80598.530015707482</v>
      </c>
      <c r="H35" s="19">
        <f t="shared" si="6"/>
        <v>67307.586657263237</v>
      </c>
      <c r="I35" s="19">
        <f t="shared" si="7"/>
        <v>-13290.943358444245</v>
      </c>
      <c r="J35" s="19">
        <f t="shared" si="12"/>
        <v>-227803.21047964133</v>
      </c>
      <c r="K35" s="18">
        <f t="shared" si="8"/>
        <v>0.71068133013012147</v>
      </c>
      <c r="L35" s="19">
        <f t="shared" si="9"/>
        <v>-9445.6253046632592</v>
      </c>
      <c r="M35" s="20">
        <f t="shared" si="10"/>
        <v>0.6235474781136815</v>
      </c>
      <c r="N35" s="17">
        <f t="shared" si="11"/>
        <v>999</v>
      </c>
    </row>
    <row r="36" spans="1:14" ht="15" customHeight="1" x14ac:dyDescent="0.35">
      <c r="A36" s="17">
        <v>8</v>
      </c>
      <c r="B36" s="5">
        <f t="shared" si="0"/>
        <v>1</v>
      </c>
      <c r="C36" s="18">
        <f t="shared" si="1"/>
        <v>0</v>
      </c>
      <c r="D36" s="18">
        <f t="shared" si="2"/>
        <v>1</v>
      </c>
      <c r="E36" s="18">
        <f t="shared" si="3"/>
        <v>5</v>
      </c>
      <c r="F36" s="18">
        <f t="shared" si="4"/>
        <v>1</v>
      </c>
      <c r="G36" s="19">
        <f t="shared" si="5"/>
        <v>83016.485916178717</v>
      </c>
      <c r="H36" s="19">
        <f t="shared" si="6"/>
        <v>70536.39628286325</v>
      </c>
      <c r="I36" s="19">
        <f t="shared" si="7"/>
        <v>-12480.089633315467</v>
      </c>
      <c r="J36" s="19">
        <f t="shared" si="12"/>
        <v>-240283.30011295679</v>
      </c>
      <c r="K36" s="18">
        <f t="shared" si="8"/>
        <v>0.67683936202868722</v>
      </c>
      <c r="L36" s="19">
        <f t="shared" si="9"/>
        <v>-8447.0159054740743</v>
      </c>
      <c r="M36" s="20">
        <f t="shared" si="10"/>
        <v>0.61760893070307521</v>
      </c>
      <c r="N36" s="17">
        <f t="shared" si="11"/>
        <v>999</v>
      </c>
    </row>
    <row r="37" spans="1:14" ht="15" customHeight="1" x14ac:dyDescent="0.35">
      <c r="A37" s="17">
        <v>9</v>
      </c>
      <c r="B37" s="5">
        <f t="shared" si="0"/>
        <v>1</v>
      </c>
      <c r="C37" s="18">
        <f t="shared" si="1"/>
        <v>0</v>
      </c>
      <c r="D37" s="18">
        <f t="shared" si="2"/>
        <v>1</v>
      </c>
      <c r="E37" s="18">
        <f t="shared" si="3"/>
        <v>6</v>
      </c>
      <c r="F37" s="18">
        <f t="shared" si="4"/>
        <v>1</v>
      </c>
      <c r="G37" s="19">
        <f t="shared" si="5"/>
        <v>85506.980493664072</v>
      </c>
      <c r="H37" s="19">
        <f t="shared" si="6"/>
        <v>73894.358293487239</v>
      </c>
      <c r="I37" s="19">
        <f t="shared" si="7"/>
        <v>-11612.622200176833</v>
      </c>
      <c r="J37" s="19">
        <f t="shared" si="12"/>
        <v>-251895.9223131336</v>
      </c>
      <c r="K37" s="18">
        <f t="shared" si="8"/>
        <v>0.64460891621779726</v>
      </c>
      <c r="L37" s="19">
        <f t="shared" si="9"/>
        <v>-7485.5998109027205</v>
      </c>
      <c r="M37" s="20">
        <f t="shared" si="10"/>
        <v>0.61172694088685531</v>
      </c>
      <c r="N37" s="17">
        <f t="shared" si="11"/>
        <v>999</v>
      </c>
    </row>
    <row r="38" spans="1:14" ht="15" customHeight="1" x14ac:dyDescent="0.35">
      <c r="A38" s="17">
        <v>10</v>
      </c>
      <c r="B38" s="5">
        <f t="shared" si="0"/>
        <v>1</v>
      </c>
      <c r="C38" s="18">
        <f t="shared" si="1"/>
        <v>0</v>
      </c>
      <c r="D38" s="18">
        <f t="shared" si="2"/>
        <v>1</v>
      </c>
      <c r="E38" s="18">
        <f t="shared" si="3"/>
        <v>7</v>
      </c>
      <c r="F38" s="18">
        <f t="shared" si="4"/>
        <v>1</v>
      </c>
      <c r="G38" s="19">
        <f t="shared" si="5"/>
        <v>88072.189908474</v>
      </c>
      <c r="H38" s="19">
        <f t="shared" si="6"/>
        <v>77386.63878453619</v>
      </c>
      <c r="I38" s="19">
        <f t="shared" si="7"/>
        <v>-10685.55112393781</v>
      </c>
      <c r="J38" s="19">
        <f t="shared" si="12"/>
        <v>-262581.47343707143</v>
      </c>
      <c r="K38" s="18">
        <f t="shared" si="8"/>
        <v>0.61391325354075932</v>
      </c>
      <c r="L38" s="19">
        <f t="shared" si="9"/>
        <v>-6560.0014563727782</v>
      </c>
      <c r="M38" s="20">
        <f t="shared" si="10"/>
        <v>0.60590097002126619</v>
      </c>
      <c r="N38" s="17">
        <f t="shared" si="11"/>
        <v>999</v>
      </c>
    </row>
    <row r="39" spans="1:14" ht="15" customHeight="1" x14ac:dyDescent="0.35">
      <c r="A39" s="17">
        <v>11</v>
      </c>
      <c r="B39" s="5">
        <f t="shared" si="0"/>
        <v>0</v>
      </c>
      <c r="C39" s="18">
        <f t="shared" si="1"/>
        <v>0</v>
      </c>
      <c r="D39" s="18">
        <f t="shared" si="2"/>
        <v>1</v>
      </c>
      <c r="E39" s="18">
        <f t="shared" si="3"/>
        <v>8</v>
      </c>
      <c r="F39" s="18">
        <f t="shared" si="4"/>
        <v>1</v>
      </c>
      <c r="G39" s="19">
        <f t="shared" si="5"/>
        <v>90714.355605728211</v>
      </c>
      <c r="H39" s="19">
        <f t="shared" si="6"/>
        <v>81018.610495227127</v>
      </c>
      <c r="I39" s="19">
        <f t="shared" si="7"/>
        <v>-9695.7451105010841</v>
      </c>
      <c r="J39" s="19">
        <f t="shared" si="12"/>
        <v>-272277.2185475725</v>
      </c>
      <c r="K39" s="18">
        <f t="shared" si="8"/>
        <v>0.5846792890864374</v>
      </c>
      <c r="L39" s="19">
        <f t="shared" si="9"/>
        <v>0</v>
      </c>
      <c r="M39" s="20">
        <f t="shared" si="10"/>
        <v>0</v>
      </c>
      <c r="N39" s="17">
        <f t="shared" si="11"/>
        <v>999</v>
      </c>
    </row>
    <row r="40" spans="1:14" ht="15" customHeight="1" x14ac:dyDescent="0.35">
      <c r="A40" s="17">
        <v>12</v>
      </c>
      <c r="B40" s="5">
        <f t="shared" si="0"/>
        <v>0</v>
      </c>
      <c r="C40" s="18">
        <f t="shared" si="1"/>
        <v>0</v>
      </c>
      <c r="D40" s="18">
        <f t="shared" si="2"/>
        <v>1</v>
      </c>
      <c r="E40" s="18">
        <f t="shared" si="3"/>
        <v>9</v>
      </c>
      <c r="F40" s="18">
        <f t="shared" si="4"/>
        <v>1</v>
      </c>
      <c r="G40" s="19">
        <f t="shared" si="5"/>
        <v>93435.78627390007</v>
      </c>
      <c r="H40" s="19">
        <f t="shared" si="6"/>
        <v>84795.861074345696</v>
      </c>
      <c r="I40" s="19">
        <f t="shared" si="7"/>
        <v>-8639.9251995543746</v>
      </c>
      <c r="J40" s="19">
        <f t="shared" si="12"/>
        <v>-280917.14374712686</v>
      </c>
      <c r="K40" s="18">
        <f t="shared" si="8"/>
        <v>0.5568374181775595</v>
      </c>
      <c r="L40" s="19">
        <f t="shared" si="9"/>
        <v>0</v>
      </c>
      <c r="M40" s="20">
        <f t="shared" si="10"/>
        <v>0</v>
      </c>
      <c r="N40" s="17">
        <f t="shared" si="11"/>
        <v>999</v>
      </c>
    </row>
    <row r="41" spans="1:14" ht="15" customHeight="1" x14ac:dyDescent="0.35">
      <c r="A41" s="17">
        <v>13</v>
      </c>
      <c r="B41" s="5">
        <f t="shared" si="0"/>
        <v>0</v>
      </c>
      <c r="C41" s="18">
        <f t="shared" si="1"/>
        <v>0</v>
      </c>
      <c r="D41" s="18">
        <f t="shared" si="2"/>
        <v>1</v>
      </c>
      <c r="E41" s="18">
        <f t="shared" si="3"/>
        <v>10</v>
      </c>
      <c r="F41" s="18">
        <f t="shared" si="4"/>
        <v>0</v>
      </c>
      <c r="G41" s="19">
        <f t="shared" si="5"/>
        <v>96238.859862117053</v>
      </c>
      <c r="H41" s="19">
        <f t="shared" si="6"/>
        <v>102136.85565936577</v>
      </c>
      <c r="I41" s="19">
        <f t="shared" si="7"/>
        <v>5897.9957972487173</v>
      </c>
      <c r="J41" s="19">
        <f t="shared" si="12"/>
        <v>-275019.14794987813</v>
      </c>
      <c r="K41" s="18">
        <f t="shared" si="8"/>
        <v>0.53032135064529462</v>
      </c>
      <c r="L41" s="19">
        <f t="shared" si="9"/>
        <v>0</v>
      </c>
      <c r="M41" s="20">
        <f t="shared" si="10"/>
        <v>0</v>
      </c>
      <c r="N41" s="17">
        <f t="shared" si="11"/>
        <v>999</v>
      </c>
    </row>
    <row r="42" spans="1:14" ht="15" customHeight="1" x14ac:dyDescent="0.35">
      <c r="A42" s="17">
        <v>14</v>
      </c>
      <c r="B42" s="5">
        <f t="shared" si="0"/>
        <v>0</v>
      </c>
      <c r="C42" s="18">
        <f t="shared" si="1"/>
        <v>0</v>
      </c>
      <c r="D42" s="18">
        <f t="shared" si="2"/>
        <v>1</v>
      </c>
      <c r="E42" s="18">
        <f t="shared" si="3"/>
        <v>11</v>
      </c>
      <c r="F42" s="18">
        <f t="shared" si="4"/>
        <v>0</v>
      </c>
      <c r="G42" s="19">
        <f t="shared" si="5"/>
        <v>99126.025657980572</v>
      </c>
      <c r="H42" s="19">
        <f t="shared" si="6"/>
        <v>106222.32988574039</v>
      </c>
      <c r="I42" s="19">
        <f t="shared" si="7"/>
        <v>7096.3042277598142</v>
      </c>
      <c r="J42" s="19">
        <f t="shared" si="12"/>
        <v>-267922.8437221183</v>
      </c>
      <c r="K42" s="18">
        <f t="shared" si="8"/>
        <v>0.50506795299551888</v>
      </c>
      <c r="L42" s="19">
        <f t="shared" si="9"/>
        <v>0</v>
      </c>
      <c r="M42" s="20">
        <f t="shared" si="10"/>
        <v>0</v>
      </c>
      <c r="N42" s="17">
        <f t="shared" si="11"/>
        <v>999</v>
      </c>
    </row>
    <row r="43" spans="1:14" ht="15" customHeight="1" x14ac:dyDescent="0.35">
      <c r="A43" s="17">
        <v>15</v>
      </c>
      <c r="B43" s="5">
        <f t="shared" si="0"/>
        <v>0</v>
      </c>
      <c r="C43" s="18">
        <f t="shared" si="1"/>
        <v>0</v>
      </c>
      <c r="D43" s="18">
        <f t="shared" si="2"/>
        <v>1</v>
      </c>
      <c r="E43" s="18">
        <f t="shared" si="3"/>
        <v>12</v>
      </c>
      <c r="F43" s="18">
        <f t="shared" si="4"/>
        <v>0</v>
      </c>
      <c r="G43" s="19">
        <f t="shared" si="5"/>
        <v>102099.80642772</v>
      </c>
      <c r="H43" s="19">
        <f t="shared" si="6"/>
        <v>110471.22308117006</v>
      </c>
      <c r="I43" s="19">
        <f t="shared" si="7"/>
        <v>8371.4166534500546</v>
      </c>
      <c r="J43" s="19">
        <f t="shared" si="12"/>
        <v>-259551.42706866824</v>
      </c>
      <c r="K43" s="18">
        <f t="shared" si="8"/>
        <v>0.48101709809097021</v>
      </c>
      <c r="L43" s="19">
        <f t="shared" si="9"/>
        <v>0</v>
      </c>
      <c r="M43" s="20">
        <f t="shared" si="10"/>
        <v>0</v>
      </c>
      <c r="N43" s="17">
        <f t="shared" si="11"/>
        <v>999</v>
      </c>
    </row>
    <row r="44" spans="1:14" ht="15" customHeight="1" x14ac:dyDescent="0.35">
      <c r="A44" s="17">
        <v>16</v>
      </c>
      <c r="B44" s="5">
        <f t="shared" si="0"/>
        <v>0</v>
      </c>
      <c r="C44" s="18">
        <f t="shared" si="1"/>
        <v>0</v>
      </c>
      <c r="D44" s="18">
        <f t="shared" si="2"/>
        <v>1</v>
      </c>
      <c r="E44" s="18">
        <f t="shared" si="3"/>
        <v>13</v>
      </c>
      <c r="F44" s="18">
        <f t="shared" si="4"/>
        <v>0</v>
      </c>
      <c r="G44" s="19">
        <f t="shared" si="5"/>
        <v>105162.8006205516</v>
      </c>
      <c r="H44" s="19">
        <f t="shared" si="6"/>
        <v>114890.07200441686</v>
      </c>
      <c r="I44" s="19">
        <f t="shared" si="7"/>
        <v>9727.2713838652562</v>
      </c>
      <c r="J44" s="19">
        <f t="shared" si="12"/>
        <v>-249824.15568480297</v>
      </c>
      <c r="K44" s="18">
        <f t="shared" si="8"/>
        <v>0.45811152199140021</v>
      </c>
      <c r="L44" s="19">
        <f t="shared" si="9"/>
        <v>0</v>
      </c>
      <c r="M44" s="20">
        <f t="shared" si="10"/>
        <v>0</v>
      </c>
      <c r="N44" s="17">
        <f t="shared" si="11"/>
        <v>999</v>
      </c>
    </row>
    <row r="45" spans="1:14" ht="15" customHeight="1" x14ac:dyDescent="0.35">
      <c r="A45" s="17">
        <v>17</v>
      </c>
      <c r="B45" s="5">
        <f t="shared" si="0"/>
        <v>0</v>
      </c>
      <c r="C45" s="18">
        <f t="shared" si="1"/>
        <v>0</v>
      </c>
      <c r="D45" s="18">
        <f t="shared" si="2"/>
        <v>1</v>
      </c>
      <c r="E45" s="18">
        <f t="shared" si="3"/>
        <v>14</v>
      </c>
      <c r="F45" s="18">
        <f t="shared" si="4"/>
        <v>0</v>
      </c>
      <c r="G45" s="19">
        <f t="shared" si="5"/>
        <v>108317.68463916812</v>
      </c>
      <c r="H45" s="19">
        <f t="shared" si="6"/>
        <v>119485.67488459351</v>
      </c>
      <c r="I45" s="19">
        <f t="shared" si="7"/>
        <v>11167.99024542539</v>
      </c>
      <c r="J45" s="19">
        <f t="shared" si="12"/>
        <v>-238656.1654393776</v>
      </c>
      <c r="K45" s="18">
        <f t="shared" si="8"/>
        <v>0.43629668761085727</v>
      </c>
      <c r="L45" s="19">
        <f t="shared" si="9"/>
        <v>0</v>
      </c>
      <c r="M45" s="20">
        <f t="shared" si="10"/>
        <v>0</v>
      </c>
      <c r="N45" s="17">
        <f t="shared" si="11"/>
        <v>999</v>
      </c>
    </row>
    <row r="46" spans="1:14" ht="15" customHeight="1" x14ac:dyDescent="0.35">
      <c r="A46" s="17">
        <v>18</v>
      </c>
      <c r="B46" s="5">
        <f t="shared" si="0"/>
        <v>0</v>
      </c>
      <c r="C46" s="18">
        <f t="shared" si="1"/>
        <v>0</v>
      </c>
      <c r="D46" s="18">
        <f t="shared" si="2"/>
        <v>1</v>
      </c>
      <c r="E46" s="18">
        <f t="shared" si="3"/>
        <v>15</v>
      </c>
      <c r="F46" s="18">
        <f t="shared" si="4"/>
        <v>0</v>
      </c>
      <c r="G46" s="19">
        <f t="shared" si="5"/>
        <v>111567.21517834316</v>
      </c>
      <c r="H46" s="19">
        <f t="shared" si="6"/>
        <v>124265.10187997724</v>
      </c>
      <c r="I46" s="19">
        <f t="shared" si="7"/>
        <v>12697.886701634081</v>
      </c>
      <c r="J46" s="19">
        <f t="shared" si="12"/>
        <v>-225958.2787377435</v>
      </c>
      <c r="K46" s="18">
        <f t="shared" si="8"/>
        <v>0.41552065486748313</v>
      </c>
      <c r="L46" s="19">
        <f t="shared" si="9"/>
        <v>0</v>
      </c>
      <c r="M46" s="20">
        <f t="shared" si="10"/>
        <v>0</v>
      </c>
      <c r="N46" s="17">
        <f t="shared" si="11"/>
        <v>999</v>
      </c>
    </row>
    <row r="47" spans="1:14" ht="15" customHeight="1" x14ac:dyDescent="0.35">
      <c r="A47" s="17">
        <v>19</v>
      </c>
      <c r="B47" s="5">
        <f t="shared" si="0"/>
        <v>0</v>
      </c>
      <c r="C47" s="18">
        <f t="shared" si="1"/>
        <v>0</v>
      </c>
      <c r="D47" s="18">
        <f t="shared" si="2"/>
        <v>1</v>
      </c>
      <c r="E47" s="18">
        <f t="shared" si="3"/>
        <v>16</v>
      </c>
      <c r="F47" s="18">
        <f t="shared" si="4"/>
        <v>0</v>
      </c>
      <c r="G47" s="19">
        <f t="shared" si="5"/>
        <v>114914.23163369347</v>
      </c>
      <c r="H47" s="19">
        <f t="shared" si="6"/>
        <v>129235.70595517638</v>
      </c>
      <c r="I47" s="19">
        <f t="shared" si="7"/>
        <v>14321.474321482907</v>
      </c>
      <c r="J47" s="19">
        <f t="shared" si="12"/>
        <v>-211636.80441626059</v>
      </c>
      <c r="K47" s="18">
        <f t="shared" si="8"/>
        <v>0.39573395701665059</v>
      </c>
      <c r="L47" s="19">
        <f t="shared" si="9"/>
        <v>0</v>
      </c>
      <c r="M47" s="20">
        <f t="shared" si="10"/>
        <v>0</v>
      </c>
      <c r="N47" s="17">
        <f t="shared" si="11"/>
        <v>999</v>
      </c>
    </row>
    <row r="48" spans="1:14" ht="15" customHeight="1" x14ac:dyDescent="0.35">
      <c r="A48" s="17">
        <v>20</v>
      </c>
      <c r="B48" s="5">
        <f t="shared" si="0"/>
        <v>0</v>
      </c>
      <c r="C48" s="18">
        <f t="shared" si="1"/>
        <v>0</v>
      </c>
      <c r="D48" s="18">
        <f t="shared" si="2"/>
        <v>1</v>
      </c>
      <c r="E48" s="18">
        <f t="shared" si="3"/>
        <v>17</v>
      </c>
      <c r="F48" s="18">
        <f t="shared" si="4"/>
        <v>0</v>
      </c>
      <c r="G48" s="19">
        <f t="shared" si="5"/>
        <v>118361.65858270427</v>
      </c>
      <c r="H48" s="19">
        <f t="shared" si="6"/>
        <v>134405.13419338342</v>
      </c>
      <c r="I48" s="19">
        <f t="shared" si="7"/>
        <v>16043.475610679146</v>
      </c>
      <c r="J48" s="19">
        <f t="shared" si="12"/>
        <v>-195593.32880558143</v>
      </c>
      <c r="K48" s="18">
        <f t="shared" si="8"/>
        <v>0.37688948287300061</v>
      </c>
      <c r="L48" s="19">
        <f t="shared" si="9"/>
        <v>0</v>
      </c>
      <c r="M48" s="20">
        <f t="shared" si="10"/>
        <v>0</v>
      </c>
      <c r="N48" s="17">
        <f t="shared" si="11"/>
        <v>999</v>
      </c>
    </row>
    <row r="50" spans="1:3" ht="15" customHeight="1" x14ac:dyDescent="0.35">
      <c r="A50" s="3" t="s">
        <v>179</v>
      </c>
    </row>
    <row r="51" spans="1:3" ht="15" customHeight="1" x14ac:dyDescent="0.35">
      <c r="A51" t="s">
        <v>180</v>
      </c>
      <c r="C51" s="21" t="str">
        <f>IF(MIN(N29:N48)=999,"Not within horizon",MIN(N29:N48))</f>
        <v>Not within horizon</v>
      </c>
    </row>
    <row r="52" spans="1:3" ht="15" customHeight="1" x14ac:dyDescent="0.35">
      <c r="A52" t="s">
        <v>181</v>
      </c>
      <c r="C52" s="22">
        <f>SUM(L29:L48)</f>
        <v>-222750.34877012923</v>
      </c>
    </row>
    <row r="53" spans="1:3" ht="15" customHeight="1" x14ac:dyDescent="0.35">
      <c r="A53" t="s">
        <v>182</v>
      </c>
      <c r="C53" s="23">
        <f>SUM(M29:M48)</f>
        <v>4.8515404524174128</v>
      </c>
    </row>
    <row r="54" spans="1:3" ht="15" customHeight="1" x14ac:dyDescent="0.35">
      <c r="A54" t="s">
        <v>183</v>
      </c>
      <c r="C54" s="22">
        <f>IF(C53=0,"n/a",($C$16*C53-C52)/C53)</f>
        <v>137913.32401632098</v>
      </c>
    </row>
    <row r="55" spans="1:3" ht="15" customHeight="1" x14ac:dyDescent="0.35">
      <c r="A55" t="s">
        <v>184</v>
      </c>
      <c r="C55" s="22">
        <f>IF(C53=0,"n/a",C52+(C54-$C$16)*C53)</f>
        <v>-5.8207660913467407E-11</v>
      </c>
    </row>
    <row r="56" spans="1:3" ht="15" customHeight="1" x14ac:dyDescent="0.35">
      <c r="A56" t="s">
        <v>185</v>
      </c>
      <c r="C56" s="22">
        <f>INDEX(J29:J48,$C$9)</f>
        <v>-262581.47343707143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Build4_StudyScenarios</vt:lpstr>
      <vt:lpstr>Case1_CheapBigJump</vt:lpstr>
      <vt:lpstr>Case2_ExpensiveSmallJump</vt:lpstr>
      <vt:lpstr>Case3_MSBA_Fractional</vt:lpstr>
      <vt:lpstr>Case4_NoLoans</vt:lpstr>
      <vt:lpstr>Case5_NeverPaysOff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Alexander</cp:lastModifiedBy>
  <cp:revision>0</cp:revision>
  <dcterms:created xsi:type="dcterms:W3CDTF">2026-09-09T18:36:26Z</dcterms:created>
  <dcterms:modified xsi:type="dcterms:W3CDTF">2026-10-06T05:54:03Z</dcterms:modified>
  <dc:language>en-US</dc:language>
</cp:coreProperties>
</file>